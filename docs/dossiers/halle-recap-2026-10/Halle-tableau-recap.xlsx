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" sheetId="1" state="visible" r:id="rId3"/>
    <sheet name="Mois par mois" sheetId="2" state="visible" r:id="rId4"/>
    <sheet name="Modèle de charges" sheetId="3" state="visible" r:id="rId5"/>
    <sheet name="Compte d’exploitation" sheetId="4" state="visible" r:id="rId6"/>
    <sheet name="Application ou bilan" sheetId="5" state="visible" r:id="rId7"/>
    <sheet name="Euros par jou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Budget 2026 de Halle au cockpit : 62 000 € par mois de mars à juillet, 61 000 € d’août à décembre.</t>
        </r>
      </text>
    </comment>
    <comment ref="B14" authorId="0">
      <text>
        <r>
          <rPr>
            <sz val="10"/>
            <rFont val="Arial"/>
            <family val="2"/>
          </rPr>
          <t xml:space="preserve">Moyenne des paniers mensuels de Corbais, Gosselies et Sombreffe, mars → septembre 2026 (stores/perf du cockpit).</t>
        </r>
      </text>
    </comment>
    <comment ref="B17" authorId="0">
      <text>
        <r>
          <rPr>
            <sz val="10"/>
            <rFont val="Arial"/>
            <family val="2"/>
          </rPr>
          <t xml:space="preserve">Étude de marché : potentiel à maturité 1 200 000 € par an, montée en régime 70 % en année 1, 80 % en année 2, 90 % en année 3.</t>
        </r>
      </text>
    </comment>
    <comment ref="C28" authorId="0">
      <text>
        <r>
          <rPr>
            <sz val="10"/>
            <rFont val="Arial"/>
            <family val="2"/>
          </rPr>
          <t xml:space="preserve">Main-d’œuvre par semaine, montant communiqué le 13 octobre 2026 ; remplace la main-d’œuvre encodée au panel, dans tous les mois (feuille « Mois par mois », colonne L) et dans le point mort.</t>
        </r>
      </text>
    </comment>
    <comment ref="C46" authorId="0">
      <text>
        <r>
          <rPr>
            <sz val="10"/>
            <rFont val="Arial"/>
            <family val="2"/>
          </rPr>
          <t xml:space="preserve">P&amp;L du cockpit, tickets relus au coût de recette du jour : matière 23 220 € en août et 22 044 € en septembre, pour 103 201 € de CA.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6" authorId="0">
      <text>
        <r>
          <rPr>
            <sz val="10"/>
            <rFont val="Arial"/>
            <family val="2"/>
          </rPr>
          <t xml:space="preserve">Objectif à date : le budget d’octobre (61 000 €) réparti sur les jours par la pondération réseau des jours de semaine.</t>
        </r>
      </text>
    </comment>
    <comment ref="L5" authorId="0">
      <text>
        <r>
          <rPr>
            <sz val="10"/>
            <rFont val="Arial"/>
            <family val="2"/>
          </rPr>
          <t xml:space="preserve">Main-d’œuvre par semaine (Récap!C28) × jours du mois ÷ 7.</t>
        </r>
      </text>
    </comment>
    <comment ref="P16" authorId="0">
      <text>
        <r>
          <rPr>
            <sz val="10"/>
            <rFont val="Arial"/>
            <family val="2"/>
          </rPr>
          <t xml:space="preserve">Frais généraux alloués par le panel en octobre, PAR JOUR (× 31 jours ≈ 15 080 € sur le mois, contre 13 043 € de juillet à septembre).</t>
        </r>
      </text>
    </comment>
  </commentList>
</comments>
</file>

<file path=xl/sharedStrings.xml><?xml version="1.0" encoding="utf-8"?>
<sst xmlns="http://schemas.openxmlformats.org/spreadsheetml/2006/main" count="280" uniqueCount="253">
  <si>
    <t xml:space="preserve">Atelier by – Halle · tableau récap</t>
  </si>
  <si>
    <t xml:space="preserve">Mars → septembre 2026 (7 mois pleins), lu le 13 octobre 2026. Hors TVA. Food cost retenu : 45 % (case B31, appliquée à tous les mois). En vert : liens vers « Mois par mois » ; en bleu : chiffres lus ; fond jaune : hypothèses à modifier ; en noir : calculs.</t>
  </si>
  <si>
    <t xml:space="preserve">Ventes et clients</t>
  </si>
  <si>
    <t xml:space="preserve">Actuel (moy. mars → sept.)</t>
  </si>
  <si>
    <t xml:space="preserve">Octobre 1 → 12</t>
  </si>
  <si>
    <t xml:space="preserve">Objectif</t>
  </si>
  <si>
    <t xml:space="preserve">Écart actuel → objectif</t>
  </si>
  <si>
    <t xml:space="preserve">Note</t>
  </si>
  <si>
    <t xml:space="preserve">CA par mois</t>
  </si>
  <si>
    <t xml:space="preserve">CA par jour</t>
  </si>
  <si>
    <t xml:space="preserve">Clients par mois</t>
  </si>
  <si>
    <t xml:space="preserve">objectif : au panier actuel</t>
  </si>
  <si>
    <t xml:space="preserve">Clients par jour</t>
  </si>
  <si>
    <t xml:space="preserve">Panier moyen</t>
  </si>
  <si>
    <t xml:space="preserve">objectif : avec le nombre de clients actuel</t>
  </si>
  <si>
    <t xml:space="preserve">Atteinte du budget</t>
  </si>
  <si>
    <t xml:space="preserve">octobre : face à l’objectif à date (budget réparti par jour de semaine)</t>
  </si>
  <si>
    <t xml:space="preserve">Objectif de CA mensuel (budget validé, août → décembre)</t>
  </si>
  <si>
    <t xml:space="preserve">hypothèse : remplacer pour tester un autre objectif</t>
  </si>
  <si>
    <t xml:space="preserve">Jours par mois (ouvert 7 jours sur 7)</t>
  </si>
  <si>
    <t xml:space="preserve">Panier moyen des 3 autres magasins (repère)</t>
  </si>
  <si>
    <t xml:space="preserve">CA sur 12 mois au rythme actuel</t>
  </si>
  <si>
    <t xml:space="preserve">CA sur 12 mois à l’objectif</t>
  </si>
  <si>
    <t xml:space="preserve">Potentiel année 1 de l’étude de marché (CA annuel)</t>
  </si>
  <si>
    <t xml:space="preserve">Les coûts du magasin (par mois)</t>
  </si>
  <si>
    <t xml:space="preserve">Moy. mars → sept.</t>
  </si>
  <si>
    <t xml:space="preserve">% du CA</t>
  </si>
  <si>
    <t xml:space="preserve">Moy. juil. → sept.</t>
  </si>
  <si>
    <t xml:space="preserve">Repère</t>
  </si>
  <si>
    <t xml:space="preserve">Matière (food cost)</t>
  </si>
  <si>
    <t xml:space="preserve">food cost retenu 45 % (case B31) ; mesuré 37,4 % au panel ; seuil réseau 32 %</t>
  </si>
  <si>
    <t xml:space="preserve">Main-d’œuvre</t>
  </si>
  <si>
    <t xml:space="preserve">2 650 € par semaine (case C28) ; encodée au panel : 8 100 € par mois ; seuil réseau 33 %</t>
  </si>
  <si>
    <t xml:space="preserve">Frais généraux encodés</t>
  </si>
  <si>
    <t xml:space="preserve">montant mensuel saisi au panel, sans détail (voir « Modèle de charges »)</t>
  </si>
  <si>
    <t xml:space="preserve">Total des coûts</t>
  </si>
  <si>
    <t xml:space="preserve">Résultat opérationnel</t>
  </si>
  <si>
    <t xml:space="preserve">avant charges financières et impôts</t>
  </si>
  <si>
    <t xml:space="preserve">Le point mort (structure de coûts juillet → septembre)</t>
  </si>
  <si>
    <t xml:space="preserve">Valeur</t>
  </si>
  <si>
    <t xml:space="preserve">€ par semaine</t>
  </si>
  <si>
    <t xml:space="preserve">Comment</t>
  </si>
  <si>
    <t xml:space="preserve">Main-d’œuvre par mois (la semaine en C, × 365/12 ÷ 7)</t>
  </si>
  <si>
    <t xml:space="preserve">hypothèse : 2 650 € par semaine (case C28) ; encodée au panel : 8 585 € par mois en juillet → septembre</t>
  </si>
  <si>
    <t xml:space="preserve">Frais généraux par mois</t>
  </si>
  <si>
    <t xml:space="preserve">octobre : 486,38 € par jour au panel, soit ≈ 15 080 € par mois</t>
  </si>
  <si>
    <t xml:space="preserve">Autres charges fixes à ajouter (rémunération du gérant…)</t>
  </si>
  <si>
    <t xml:space="preserve">absentes du panel : à renseigner avec le franchisé</t>
  </si>
  <si>
    <t xml:space="preserve">Food cost (hypothèse, s’applique à tous les mois)</t>
  </si>
  <si>
    <t xml:space="preserve">hypothèse demandée ; mesuré 36,5 % par le panel (juillet → septembre), 43,9 % ticket par ticket (août-septembre)</t>
  </si>
  <si>
    <t xml:space="preserve">Charges fixes par mois</t>
  </si>
  <si>
    <t xml:space="preserve">Taux de marge brute (1 − food cost)</t>
  </si>
  <si>
    <t xml:space="preserve">Point mort, CA par mois</t>
  </si>
  <si>
    <t xml:space="preserve">charges fixes ÷ taux de marge brute</t>
  </si>
  <si>
    <t xml:space="preserve">Point mort, CA par jour</t>
  </si>
  <si>
    <t xml:space="preserve">Point mort, clients par jour au panier actuel</t>
  </si>
  <si>
    <t xml:space="preserve">Marge de sécurité (baisse de CA possible avant le point mort)</t>
  </si>
  <si>
    <t xml:space="preserve">face au CA moyen mars → septembre</t>
  </si>
  <si>
    <t xml:space="preserve">Résultat au CA actuel (par mois)</t>
  </si>
  <si>
    <t xml:space="preserve">avec ces hypothèses</t>
  </si>
  <si>
    <t xml:space="preserve">Résultat à l’objectif (par mois)</t>
  </si>
  <si>
    <t xml:space="preserve">Point mort en plus pour 1 000 € de charges fixes</t>
  </si>
  <si>
    <t xml:space="preserve">Résultat en plus pour 1 000 € de CA</t>
  </si>
  <si>
    <t xml:space="preserve">Le point mort selon les hypothèses</t>
  </si>
  <si>
    <t xml:space="preserve">Charges fixes</t>
  </si>
  <si>
    <t xml:space="preserve">Food cost</t>
  </si>
  <si>
    <t xml:space="preserve">Point mort / mois</t>
  </si>
  <si>
    <t xml:space="preserve">Point mort / jour</t>
  </si>
  <si>
    <t xml:space="preserve">Marge de sécurité</t>
  </si>
  <si>
    <t xml:space="preserve">Food cost retenu, charges juillet → septembre</t>
  </si>
  <si>
    <t xml:space="preserve">Le même, avec les frais généraux d’octobre (par jour × 31)</t>
  </si>
  <si>
    <t xml:space="preserve">Food cost recomposé ticket par ticket (août-septembre)</t>
  </si>
  <si>
    <t xml:space="preserve">Food cost mesuré par le panel (juillet → septembre)</t>
  </si>
  <si>
    <t xml:space="preserve">À savoir</t>
  </si>
  <si>
    <t xml:space="preserve">Main-d’œuvre retenue : 2 650 € par semaine (case C28), au prorata des jours de chaque mois. Elle remplace la main-d’œuvre encodée au panel (8 100 € par mois en moyenne, colonne U de « Mois par mois »). Si la rémunération du gérant n’y est pas, l’ajouter en « Autres charges fixes ».</t>
  </si>
  <si>
    <t xml:space="preserve">Les frais généraux encodés sont un montant mensuel saisi au panel, sans détail ; la feuille « Modèle de charges » donne le contenu attendu par le franchiseur (loyer, énergie, redevances, amortissements…).</t>
  </si>
  <si>
    <t xml:space="preserve">Ouverture en mars ; les ventes de février (du 20 au 28) et octobre, partiels, restent hors des moyennes. Juin et juillet : travaux sur le viaduc de Halle, effet estimé − 20 %.</t>
  </si>
  <si>
    <t xml:space="preserve">Atelier by – Halle · les mois pleins, mars → septembre 2026</t>
  </si>
  <si>
    <t xml:space="preserve">Lu le 13 octobre 2026 sur le panel (P&amp;L quotidien agrégé par mois : CA, main-d’œuvre, frais généraux) et le cockpit (tickets, food cost mesuré par le panel, budget, heures planifiées). En bleu : les chiffres lus ; en noir : les calculs. Hors TVA. Juin et juillet : travaux du viaduc de Halle (effet estimé − 20 %).</t>
  </si>
  <si>
    <t xml:space="preserve">Mois</t>
  </si>
  <si>
    <t xml:space="preserve">Jours de vente</t>
  </si>
  <si>
    <t xml:space="preserve">CA (€)</t>
  </si>
  <si>
    <t xml:space="preserve">Budget CA (€)</t>
  </si>
  <si>
    <t xml:space="preserve">Atteinte</t>
  </si>
  <si>
    <t xml:space="preserve">Clients (tickets)</t>
  </si>
  <si>
    <t xml:space="preserve">Panier moyen (€)</t>
  </si>
  <si>
    <t xml:space="preserve">CA par jour (€)</t>
  </si>
  <si>
    <t xml:space="preserve">Food cost retenu (% CA)</t>
  </si>
  <si>
    <t xml:space="preserve">Matière (€)</t>
  </si>
  <si>
    <t xml:space="preserve">Main-d’œuvre retenue (€)</t>
  </si>
  <si>
    <t xml:space="preserve">Main-d’œuvre (% CA)</t>
  </si>
  <si>
    <t xml:space="preserve">Heures planifiées</t>
  </si>
  <si>
    <t xml:space="preserve">Coût horaire retenu (€/h)</t>
  </si>
  <si>
    <t xml:space="preserve">Frais généraux encodés (€)</t>
  </si>
  <si>
    <t xml:space="preserve">Frais généraux (% CA)</t>
  </si>
  <si>
    <t xml:space="preserve">Résultat opérationnel encodé (€)</t>
  </si>
  <si>
    <t xml:space="preserve">Résultat (% CA)</t>
  </si>
  <si>
    <t xml:space="preserve">Food cost mesuré par le panel (% CA)</t>
  </si>
  <si>
    <t xml:space="preserve">Main-d’œuvre encodée au panel (€)</t>
  </si>
  <si>
    <t xml:space="preserve">Mars</t>
  </si>
  <si>
    <t xml:space="preserve">Avril</t>
  </si>
  <si>
    <t xml:space="preserve">Mai</t>
  </si>
  <si>
    <t xml:space="preserve">Juin (travaux viaduc)</t>
  </si>
  <si>
    <t xml:space="preserve">Juillet (travaux viaduc)</t>
  </si>
  <si>
    <t xml:space="preserve">Août</t>
  </si>
  <si>
    <t xml:space="preserve">Septembre</t>
  </si>
  <si>
    <t xml:space="preserve">Total mars → septembre</t>
  </si>
  <si>
    <t xml:space="preserve">Moyenne par mois, mars → septembre</t>
  </si>
  <si>
    <t xml:space="preserve">Moyenne par mois, juillet → septembre (structure actuelle)</t>
  </si>
  <si>
    <t xml:space="preserve">Octobre, 1 → 12 (en cours)</t>
  </si>
  <si>
    <t xml:space="preserve">← € par jour</t>
  </si>
  <si>
    <t xml:space="preserve">Le modèle de charges du budget franchisé (Halle, exercice 2026)</t>
  </si>
  <si>
    <t xml:space="preserve">Les hypothèses du franchiseur, en part du CA — pas des montants constatés : le loyer réel vient du bail, l’énergie des factures. Le € par mois se calcule sur le CA moyen mars → septembre.</t>
  </si>
  <si>
    <t xml:space="preserve">CA moyen par mois (mars → septembre)</t>
  </si>
  <si>
    <t xml:space="preserve">Catégorie</t>
  </si>
  <si>
    <t xml:space="preserve">Poste</t>
  </si>
  <si>
    <t xml:space="preserve">Budget (% du CA)</t>
  </si>
  <si>
    <t xml:space="preserve">Théorique (% du CA)</t>
  </si>
  <si>
    <t xml:space="preserve">€ par mois au rythme actuel (budget)</t>
  </si>
  <si>
    <t xml:space="preserve">Gestion</t>
  </si>
  <si>
    <t xml:space="preserve">Matière première &amp; Emballage</t>
  </si>
  <si>
    <t xml:space="preserve">Matière première</t>
  </si>
  <si>
    <t xml:space="preserve">Emballage</t>
  </si>
  <si>
    <t xml:space="preserve">Occupation</t>
  </si>
  <si>
    <t xml:space="preserve">Loyer + charges locatives</t>
  </si>
  <si>
    <t xml:space="preserve">Fixe</t>
  </si>
  <si>
    <t xml:space="preserve">Énergie (eau, gaz, électricité)</t>
  </si>
  <si>
    <t xml:space="preserve">Groupement d’achat, appel d’offres</t>
  </si>
  <si>
    <t xml:space="preserve">Maintenance &amp; nettoyage</t>
  </si>
  <si>
    <t xml:space="preserve">Préventif et régulier</t>
  </si>
  <si>
    <t xml:space="preserve">Assurances, licences, etc.</t>
  </si>
  <si>
    <t xml:space="preserve">Suivi des échéances</t>
  </si>
  <si>
    <t xml:space="preserve">Redevances de marque</t>
  </si>
  <si>
    <t xml:space="preserve">Royalties franchise</t>
  </si>
  <si>
    <t xml:space="preserve">Redevance assistance</t>
  </si>
  <si>
    <t xml:space="preserve">Marketing national / local</t>
  </si>
  <si>
    <t xml:space="preserve">Investissement</t>
  </si>
  <si>
    <t xml:space="preserve">Amortissements / leasing matériel</t>
  </si>
  <si>
    <t xml:space="preserve">Frais généraux</t>
  </si>
  <si>
    <t xml:space="preserve">Autres (comptabilité, banque, divers)</t>
  </si>
  <si>
    <t xml:space="preserve">Optimisation des prestataires</t>
  </si>
  <si>
    <t xml:space="preserve">Total des postes budgétés</t>
  </si>
  <si>
    <t xml:space="preserve">Frais généraux encodés au panel, par mois (juillet → septembre)</t>
  </si>
  <si>
    <t xml:space="preserve">La matière (36 %) et l’emballage (2 %) ne sont qu’en théorique dans ce modèle : le food cost mesuré en tient lieu.</t>
  </si>
  <si>
    <t xml:space="preserve">Le compte d’exploitation comptable, mars → septembre 2026 (à valider)</t>
  </si>
  <si>
    <t xml:space="preserve">Situation au 30/09/2026 de la fiduciaire (Pardoen), ramenée au mois sur les 7 mois d’exploitation (ouverture en mars) ; loyer, charges locatives, assurance et honoraires à leur coût mensuel. En bleu : montants de l’analyse ; fond jaune : paramètres et résultats visés ; en noir : calculs.</t>
  </si>
  <si>
    <t xml:space="preserve">Paramètres</t>
  </si>
  <si>
    <t xml:space="preserve">Rémunération de Nathan, € par semaine</t>
  </si>
  <si>
    <t xml:space="preserve">absente des comptes</t>
  </si>
  <si>
    <t xml:space="preserve">Remboursements crédits et leasing, € par mois</t>
  </si>
  <si>
    <t xml:space="preserve">≈ 211 k€ sur 10 ans et 38 k€ sur 5 ans</t>
  </si>
  <si>
    <t xml:space="preserve">Semaines par mois</t>
  </si>
  <si>
    <t xml:space="preserve">Jours par mois</t>
  </si>
  <si>
    <t xml:space="preserve">ouvert 7 jours sur 7</t>
  </si>
  <si>
    <t xml:space="preserve">Mois d’exploitation (ouverture en mars)</t>
  </si>
  <si>
    <t xml:space="preserve">pour ramener au mois les totaux de la période</t>
  </si>
  <si>
    <t xml:space="preserve">Hausse de prix moyenne (plan B1)</t>
  </si>
  <si>
    <t xml:space="preserve">baguette et tradition inchangées ; volumes supposés inchangés</t>
  </si>
  <si>
    <t xml:space="preserve">Commandes sur ventes réelles (B2), % des achats</t>
  </si>
  <si>
    <t xml:space="preserve">Hausse de CA du scénario</t>
  </si>
  <si>
    <t xml:space="preserve">les + 15 % visés</t>
  </si>
  <si>
    <t xml:space="preserve">Matière du scénario (% du CA)</t>
  </si>
  <si>
    <t xml:space="preserve">la cible du plan</t>
  </si>
  <si>
    <t xml:space="preserve">Résultat visé après Nathan et la banque (€ par mois)</t>
  </si>
  <si>
    <t xml:space="preserve">Poste (€ par mois)</t>
  </si>
  <si>
    <t xml:space="preserve">Analyse</t>
  </si>
  <si>
    <t xml:space="preserve">% CA</t>
  </si>
  <si>
    <t xml:space="preserve">CA pour le résultat visé</t>
  </si>
  <si>
    <t xml:space="preserve">Plan achats (B1 + B2)</t>
  </si>
  <si>
    <t xml:space="preserve">+ 15 % de CA, matière 40 %</t>
  </si>
  <si>
    <t xml:space="preserve">Chiffre d’affaires</t>
  </si>
  <si>
    <t xml:space="preserve">Achats matière (marchandises + fournitures + boissons)</t>
  </si>
  <si>
    <t xml:space="preserve">Emballages</t>
  </si>
  <si>
    <t xml:space="preserve">Marge brute</t>
  </si>
  <si>
    <t xml:space="preserve">Personnel (sans rémunération de Nathan)</t>
  </si>
  <si>
    <t xml:space="preserve">Loyer + charges locatives + assurance incendie</t>
  </si>
  <si>
    <t xml:space="preserve">Énergie, eau, location panneaux PV</t>
  </si>
  <si>
    <t xml:space="preserve">Autres charges diverses (probablement les redevances)</t>
  </si>
  <si>
    <t xml:space="preserve">Honoraires (fiduciaire, secrétariat social, Indeed…)</t>
  </si>
  <si>
    <t xml:space="preserve">Location containers</t>
  </si>
  <si>
    <t xml:space="preserve">Voiture (location, carburant, assurance)</t>
  </si>
  <si>
    <t xml:space="preserve">Entretien, hygiène, extincteurs</t>
  </si>
  <si>
    <t xml:space="preserve">Admin, IT, téléphone, poste</t>
  </si>
  <si>
    <t xml:space="preserve">Publicité</t>
  </si>
  <si>
    <t xml:space="preserve">Petit matériel, entretien machines</t>
  </si>
  <si>
    <t xml:space="preserve">Caisse, terminal, assurances diverses, intérim, taxes</t>
  </si>
  <si>
    <t xml:space="preserve">EBITDA d’exploitation</t>
  </si>
  <si>
    <t xml:space="preserve">Rémunération de Nathan</t>
  </si>
  <si>
    <t xml:space="preserve">EBITDA, Nathan payé</t>
  </si>
  <si>
    <t xml:space="preserve">Remboursements crédits et leasing</t>
  </si>
  <si>
    <t xml:space="preserve">Après Nathan et la banque</t>
  </si>
  <si>
    <t xml:space="preserve">CA en plus par mois</t>
  </si>
  <si>
    <t xml:space="preserve">CA en plus par jour</t>
  </si>
  <si>
    <t xml:space="preserve">Point mort, Nathan payé (CA par mois)</t>
  </si>
  <si>
    <t xml:space="preserve">Point mort avec les remboursements (CA par mois)</t>
  </si>
  <si>
    <t xml:space="preserve">Colonnes D à F : le CA qui donne le résultat visé (ligne 18) ; achats et emballages suivent le CA, les autres charges restent les mêmes. Point mort : charges fixes (Nathan et remboursements compris) ÷ (1 − achats et emballages en % du CA).</t>
  </si>
  <si>
    <t xml:space="preserve">Le rapprochement avec la caisse</t>
  </si>
  <si>
    <t xml:space="preserve">CA comptable de la période (€ par mois × mois d’exploitation)</t>
  </si>
  <si>
    <t xml:space="preserve">CA de caisse HT, mars → septembre</t>
  </si>
  <si>
    <t xml:space="preserve">Écart comptable − caisse</t>
  </si>
  <si>
    <t xml:space="preserve">D’où vient la perte de la situation au 30/09</t>
  </si>
  <si>
    <t xml:space="preserve">Charges courues par mois sans CA</t>
  </si>
  <si>
    <t xml:space="preserve">Pré-ouverture 2025</t>
  </si>
  <si>
    <t xml:space="preserve">Mois sans CA (octobre → février)</t>
  </si>
  <si>
    <t xml:space="preserve">Charges courues sans CA, d’octobre à février</t>
  </si>
  <si>
    <t xml:space="preserve">Erreur de stock</t>
  </si>
  <si>
    <t xml:space="preserve">Exploitation réelle de mars → septembre</t>
  </si>
  <si>
    <t xml:space="preserve">Amortissements</t>
  </si>
  <si>
    <t xml:space="preserve">Frais financiers</t>
  </si>
  <si>
    <t xml:space="preserve">Somme des lignes</t>
  </si>
  <si>
    <t xml:space="preserve">Perte de la situation au 30/09</t>
  </si>
  <si>
    <t xml:space="preserve">L’application ou le bilan : mars → septembre 2026, en € par mois</t>
  </si>
  <si>
    <t xml:space="preserve">Application : la caisse et le P&amp;L du panel (feuille « Mois par mois », main-d’œuvre encodée, food cost mesuré par le panel). Bilan : la situation au 30/09 de la fiduciaire, ramenée au mois (feuille « Compte d’exploitation », colonne Analyse, à valider). En vert : liens ; en noir : calculs.</t>
  </si>
  <si>
    <t xml:space="preserve">Application</t>
  </si>
  <si>
    <t xml:space="preserve">Bilan</t>
  </si>
  <si>
    <t xml:space="preserve">Écart (bilan − application)</t>
  </si>
  <si>
    <t xml:space="preserve">Ce qui change d’une source à l’autre</t>
  </si>
  <si>
    <t xml:space="preserve">caisse HT, contre CA comptable</t>
  </si>
  <si>
    <t xml:space="preserve">Matière</t>
  </si>
  <si>
    <t xml:space="preserve">application : coût de recette des ventes (panel) ; bilan : achats + emballages</t>
  </si>
  <si>
    <t xml:space="preserve">Personnel</t>
  </si>
  <si>
    <t xml:space="preserve">heures planifiées × taux du panel, contre salaires ; Nathan absent des deux</t>
  </si>
  <si>
    <t xml:space="preserve">montant saisi au panel, contre factures</t>
  </si>
  <si>
    <t xml:space="preserve">Résultat · EBITDA</t>
  </si>
  <si>
    <t xml:space="preserve">avant Nathan, amortissements, charges financières</t>
  </si>
  <si>
    <t xml:space="preserve">Point mort (CA par mois)</t>
  </si>
  <si>
    <t xml:space="preserve">charges fixes ÷ (1 − matière en % du CA), Nathan non payé</t>
  </si>
  <si>
    <t xml:space="preserve">Clients par mois (application)</t>
  </si>
  <si>
    <t xml:space="preserve">Panier moyen (application)</t>
  </si>
  <si>
    <t xml:space="preserve">Du résultat de l’application à l’EBITDA du bilan</t>
  </si>
  <si>
    <t xml:space="preserve">Résultat de l’application</t>
  </si>
  <si>
    <t xml:space="preserve">Écart de CA</t>
  </si>
  <si>
    <t xml:space="preserve">Écart de matière</t>
  </si>
  <si>
    <t xml:space="preserve">Écart de personnel</t>
  </si>
  <si>
    <t xml:space="preserve">Écart de frais généraux</t>
  </si>
  <si>
    <t xml:space="preserve">EBITDA du bilan (somme des lignes)</t>
  </si>
  <si>
    <t xml:space="preserve">Ce que rapportent quelques euros de plus par jour</t>
  </si>
  <si>
    <t xml:space="preserve">À personnel et frais généraux égaux, un euro vendu en plus ne coûte que sa matière. Paliers en bleu (modifiables) ; liens en vert vers « Récap » et « Compte d’exploitation ».</t>
  </si>
  <si>
    <t xml:space="preserve">Taux de marge, bilan</t>
  </si>
  <si>
    <t xml:space="preserve">EBITDA Nathan payé, bilan</t>
  </si>
  <si>
    <t xml:space="preserve">Après remboursements, bilan</t>
  </si>
  <si>
    <t xml:space="preserve">Taux de marge, récap</t>
  </si>
  <si>
    <t xml:space="preserve">Résultat actuel, récap</t>
  </si>
  <si>
    <t xml:space="preserve">€ par jour en plus</t>
  </si>
  <si>
    <t xml:space="preserve">CA en plus par an</t>
  </si>
  <si>
    <t xml:space="preserve">Clients par jour en plus</t>
  </si>
  <si>
    <t xml:space="preserve">ou panier en plus</t>
  </si>
  <si>
    <t xml:space="preserve">Marge directe par mois (récap)</t>
  </si>
  <si>
    <t xml:space="preserve">Résultat par mois (récap)</t>
  </si>
  <si>
    <t xml:space="preserve">Marge directe par mois (bilan)</t>
  </si>
  <si>
    <t xml:space="preserve">EBITDA Nathan payé (bilan)</t>
  </si>
  <si>
    <t xml:space="preserve">Après remboursements (bilan)</t>
  </si>
  <si>
    <t xml:space="preserve">Ligne 0 : aujourd’hui, moyenne de mars à septembre (le bilan de la page 3). Une vente faite avec une remise rapporte moins que la marge directe.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</si>
</sst>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-"/>
    <numFmt numFmtId="166" formatCode="#,##0;\(#,##0\);\-"/>
    <numFmt numFmtId="167" formatCode="#,##0.00&quot; €&quot;;\(#,##0.00&quot; €)&quot;;\-"/>
    <numFmt numFmtId="168" formatCode="0%;\(0%\);\-"/>
    <numFmt numFmtId="169" formatCode="#,##0.0;\(#,##0.0\);\-"/>
    <numFmt numFmtId="170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8D1D2C"/>
      <name val="Arial"/>
      <family val="0"/>
      <charset val="1"/>
    </font>
    <font>
      <i val="true"/>
      <sz val="8"/>
      <color rgb="FF7A736A"/>
      <name val="Arial"/>
      <family val="0"/>
      <charset val="1"/>
    </font>
    <font>
      <b val="true"/>
      <sz val="10"/>
      <color rgb="FF8D1D2C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8D1D2C"/>
      <name val="Arial"/>
      <family val="0"/>
      <charset val="1"/>
    </font>
    <font>
      <sz val="8"/>
      <color rgb="FF5A534B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F9F5"/>
        <bgColor rgb="FFF3EFE8"/>
      </patternFill>
    </fill>
    <fill>
      <patternFill patternType="solid">
        <fgColor rgb="FFF3EFE8"/>
        <bgColor rgb="FFFBF9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21E1A"/>
      </bottom>
      <diagonal/>
    </border>
    <border diagonalUp="false" diagonalDown="false">
      <left/>
      <right/>
      <top style="thin">
        <color rgb="FF221E1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9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36A"/>
      <rgbColor rgb="FF9999FF"/>
      <rgbColor rgb="FF993366"/>
      <rgbColor rgb="FFF3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34B"/>
      <rgbColor rgb="FF969696"/>
      <rgbColor rgb="FF003366"/>
      <rgbColor rgb="FF339966"/>
      <rgbColor rgb="FF003300"/>
      <rgbColor rgb="FF333300"/>
      <rgbColor rgb="FF8D1D2C"/>
      <rgbColor rgb="FF993366"/>
      <rgbColor rgb="FF333399"/>
      <rgbColor rgb="FF221E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5" min="2" style="0" width="16"/>
    <col collapsed="false" customWidth="true" hidden="false" outlineLevel="0" max="6" min="6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</row>
    <row r="5" customFormat="false" ht="15" hidden="false" customHeight="false" outlineLevel="0" collapsed="false">
      <c r="A5" s="6" t="s">
        <v>8</v>
      </c>
      <c r="B5" s="7" t="n">
        <f aca="false">'Mois par mois'!C13</f>
        <v>51603.3657142857</v>
      </c>
      <c r="D5" s="8" t="n">
        <f aca="false">B12</f>
        <v>61000</v>
      </c>
      <c r="E5" s="8" t="n">
        <f aca="false">D5-B5</f>
        <v>9396.63428571429</v>
      </c>
      <c r="F5" s="2"/>
    </row>
    <row r="6" customFormat="false" ht="15" hidden="false" customHeight="false" outlineLevel="0" collapsed="false">
      <c r="A6" s="6" t="s">
        <v>9</v>
      </c>
      <c r="B6" s="7" t="n">
        <f aca="false">'Mois par mois'!H13</f>
        <v>1695.88525821596</v>
      </c>
      <c r="C6" s="7" t="n">
        <f aca="false">'Mois par mois'!H16</f>
        <v>1950.14583333333</v>
      </c>
      <c r="D6" s="8" t="n">
        <f aca="false">B12/B13</f>
        <v>2005.47945205479</v>
      </c>
      <c r="E6" s="8" t="n">
        <f aca="false">D6-B6</f>
        <v>309.594193838832</v>
      </c>
      <c r="F6" s="2"/>
    </row>
    <row r="7" customFormat="false" ht="15" hidden="false" customHeight="false" outlineLevel="0" collapsed="false">
      <c r="A7" s="6" t="s">
        <v>10</v>
      </c>
      <c r="B7" s="9" t="n">
        <f aca="false">'Mois par mois'!F13</f>
        <v>4235.57142857143</v>
      </c>
      <c r="D7" s="10" t="n">
        <f aca="false">IF(B9&gt;0,B12/B9,0)</f>
        <v>5006.84119275055</v>
      </c>
      <c r="E7" s="10" t="n">
        <f aca="false">D7-B7</f>
        <v>771.269764179122</v>
      </c>
      <c r="F7" s="2" t="s">
        <v>11</v>
      </c>
    </row>
    <row r="8" customFormat="false" ht="15" hidden="false" customHeight="false" outlineLevel="0" collapsed="false">
      <c r="A8" s="6" t="s">
        <v>12</v>
      </c>
      <c r="B8" s="9" t="n">
        <f aca="false">'Mois par mois'!I13</f>
        <v>139.197183098592</v>
      </c>
      <c r="C8" s="9" t="n">
        <f aca="false">'Mois par mois'!I16</f>
        <v>152.916666666667</v>
      </c>
      <c r="D8" s="10" t="n">
        <f aca="false">D7/B13</f>
        <v>164.608477569881</v>
      </c>
      <c r="E8" s="10" t="n">
        <f aca="false">D8-B8</f>
        <v>25.4112944712896</v>
      </c>
      <c r="F8" s="2" t="s">
        <v>11</v>
      </c>
    </row>
    <row r="9" customFormat="false" ht="15" hidden="false" customHeight="false" outlineLevel="0" collapsed="false">
      <c r="A9" s="6" t="s">
        <v>13</v>
      </c>
      <c r="B9" s="11" t="n">
        <f aca="false">'Mois par mois'!G13</f>
        <v>12.1833302978178</v>
      </c>
      <c r="C9" s="11" t="n">
        <f aca="false">'Mois par mois'!G16</f>
        <v>12.7529972752044</v>
      </c>
      <c r="D9" s="12" t="n">
        <f aca="false">IF(B7&gt;0,B12/B7,0)</f>
        <v>14.4018348004992</v>
      </c>
      <c r="E9" s="12" t="n">
        <f aca="false">D9-B9</f>
        <v>2.21850450268137</v>
      </c>
      <c r="F9" s="2" t="s">
        <v>14</v>
      </c>
    </row>
    <row r="10" customFormat="false" ht="15" hidden="false" customHeight="false" outlineLevel="0" collapsed="false">
      <c r="A10" s="6" t="s">
        <v>15</v>
      </c>
      <c r="B10" s="13" t="n">
        <f aca="false">'Mois par mois'!E12</f>
        <v>0.836165648148148</v>
      </c>
      <c r="C10" s="13" t="n">
        <f aca="false">'Mois par mois'!E16</f>
        <v>0.981857964307517</v>
      </c>
      <c r="F10" s="2" t="s">
        <v>16</v>
      </c>
    </row>
    <row r="12" customFormat="false" ht="15" hidden="false" customHeight="false" outlineLevel="0" collapsed="false">
      <c r="A12" s="6" t="s">
        <v>17</v>
      </c>
      <c r="B12" s="14" t="n">
        <v>61000</v>
      </c>
      <c r="F12" s="2" t="s">
        <v>18</v>
      </c>
    </row>
    <row r="13" customFormat="false" ht="15" hidden="false" customHeight="false" outlineLevel="0" collapsed="false">
      <c r="A13" s="6" t="s">
        <v>19</v>
      </c>
      <c r="B13" s="15" t="n">
        <f aca="false">365/12</f>
        <v>30.4166666666667</v>
      </c>
    </row>
    <row r="14" customFormat="false" ht="15" hidden="false" customHeight="false" outlineLevel="0" collapsed="false">
      <c r="A14" s="6" t="s">
        <v>20</v>
      </c>
      <c r="B14" s="16" t="n">
        <v>14.26</v>
      </c>
    </row>
    <row r="15" customFormat="false" ht="15" hidden="false" customHeight="false" outlineLevel="0" collapsed="false">
      <c r="A15" s="6" t="s">
        <v>21</v>
      </c>
      <c r="B15" s="8" t="n">
        <f aca="false">B5*12</f>
        <v>619240.388571429</v>
      </c>
    </row>
    <row r="16" customFormat="false" ht="15" hidden="false" customHeight="false" outlineLevel="0" collapsed="false">
      <c r="A16" s="6" t="s">
        <v>22</v>
      </c>
      <c r="B16" s="8" t="n">
        <f aca="false">B12*12</f>
        <v>732000</v>
      </c>
    </row>
    <row r="17" customFormat="false" ht="15" hidden="false" customHeight="false" outlineLevel="0" collapsed="false">
      <c r="A17" s="6" t="s">
        <v>23</v>
      </c>
      <c r="B17" s="17" t="n">
        <v>840000</v>
      </c>
    </row>
    <row r="20" customFormat="false" ht="27.75" hidden="false" customHeight="true" outlineLevel="0" collapsed="false">
      <c r="A20" s="3" t="s">
        <v>24</v>
      </c>
      <c r="B20" s="4" t="s">
        <v>25</v>
      </c>
      <c r="C20" s="4" t="s">
        <v>26</v>
      </c>
      <c r="D20" s="4" t="s">
        <v>27</v>
      </c>
      <c r="E20" s="4" t="s">
        <v>26</v>
      </c>
      <c r="F20" s="5" t="s">
        <v>28</v>
      </c>
    </row>
    <row r="21" customFormat="false" ht="15" hidden="false" customHeight="false" outlineLevel="0" collapsed="false">
      <c r="A21" s="6" t="s">
        <v>29</v>
      </c>
      <c r="B21" s="7" t="n">
        <f aca="false">'Mois par mois'!K13</f>
        <v>23221.5145714286</v>
      </c>
      <c r="C21" s="18" t="n">
        <f aca="false">IF('Mois par mois'!C13&gt;0,B21/'Mois par mois'!C13,0)</f>
        <v>0.45</v>
      </c>
      <c r="D21" s="7" t="n">
        <f aca="false">'Mois par mois'!K14</f>
        <v>22415.5875</v>
      </c>
      <c r="E21" s="18" t="n">
        <f aca="false">IF('Mois par mois'!C14&gt;0,D21/'Mois par mois'!C14,0)</f>
        <v>0.45</v>
      </c>
      <c r="F21" s="2" t="s">
        <v>30</v>
      </c>
    </row>
    <row r="22" customFormat="false" ht="15" hidden="false" customHeight="false" outlineLevel="0" collapsed="false">
      <c r="A22" s="6" t="s">
        <v>31</v>
      </c>
      <c r="B22" s="7" t="n">
        <f aca="false">'Mois par mois'!L13</f>
        <v>11573.4693877551</v>
      </c>
      <c r="C22" s="18" t="n">
        <f aca="false">IF('Mois par mois'!C13&gt;0,B22/'Mois par mois'!C13,0)</f>
        <v>0.224277413450789</v>
      </c>
      <c r="D22" s="7" t="n">
        <f aca="false">'Mois par mois'!L14</f>
        <v>11609.5238095238</v>
      </c>
      <c r="E22" s="18" t="n">
        <f aca="false">IF('Mois par mois'!C14&gt;0,D22/'Mois par mois'!C14,0)</f>
        <v>0.233064857848839</v>
      </c>
      <c r="F22" s="2" t="s">
        <v>32</v>
      </c>
    </row>
    <row r="23" customFormat="false" ht="15" hidden="false" customHeight="false" outlineLevel="0" collapsed="false">
      <c r="A23" s="6" t="s">
        <v>33</v>
      </c>
      <c r="B23" s="7" t="n">
        <f aca="false">'Mois par mois'!P13</f>
        <v>12612.6714285714</v>
      </c>
      <c r="C23" s="18" t="n">
        <f aca="false">IF('Mois par mois'!C13&gt;0,B23/'Mois par mois'!C13,0)</f>
        <v>0.244415674326448</v>
      </c>
      <c r="D23" s="7" t="n">
        <f aca="false">'Mois par mois'!P14</f>
        <v>13042.6866666667</v>
      </c>
      <c r="E23" s="18" t="n">
        <f aca="false">IF('Mois par mois'!C14&gt;0,D23/'Mois par mois'!C14,0)</f>
        <v>0.261836054932756</v>
      </c>
      <c r="F23" s="2" t="s">
        <v>34</v>
      </c>
    </row>
    <row r="24" customFormat="false" ht="15" hidden="false" customHeight="false" outlineLevel="0" collapsed="false">
      <c r="A24" s="19" t="s">
        <v>35</v>
      </c>
      <c r="B24" s="20" t="n">
        <f aca="false">SUM(B21:B23)</f>
        <v>47407.6553877551</v>
      </c>
      <c r="C24" s="21" t="n">
        <f aca="false">IF('Mois par mois'!C13&gt;0,B24/'Mois par mois'!C13,0)</f>
        <v>0.918693087777236</v>
      </c>
      <c r="D24" s="20" t="n">
        <f aca="false">SUM(D21:D23)</f>
        <v>47067.7979761905</v>
      </c>
      <c r="E24" s="21" t="n">
        <f aca="false">IF('Mois par mois'!C14&gt;0,D24/'Mois par mois'!C14,0)</f>
        <v>0.944900912781595</v>
      </c>
    </row>
    <row r="25" customFormat="false" ht="15" hidden="false" customHeight="false" outlineLevel="0" collapsed="false">
      <c r="A25" s="22" t="s">
        <v>36</v>
      </c>
      <c r="B25" s="23" t="n">
        <f aca="false">'Mois par mois'!C13-B24</f>
        <v>4195.71032653061</v>
      </c>
      <c r="C25" s="24" t="n">
        <f aca="false">IF('Mois par mois'!C13&gt;0,B25/'Mois par mois'!C13,0)</f>
        <v>0.0813069122227639</v>
      </c>
      <c r="D25" s="23" t="n">
        <f aca="false">'Mois par mois'!C14-D24</f>
        <v>2744.61869047619</v>
      </c>
      <c r="E25" s="24" t="n">
        <f aca="false">IF('Mois par mois'!C14&gt;0,D25/'Mois par mois'!C14,0)</f>
        <v>0.0550990872184048</v>
      </c>
      <c r="F25" s="2" t="s">
        <v>37</v>
      </c>
    </row>
    <row r="27" customFormat="false" ht="27.75" hidden="false" customHeight="true" outlineLevel="0" collapsed="false">
      <c r="A27" s="3" t="s">
        <v>38</v>
      </c>
      <c r="B27" s="4" t="s">
        <v>39</v>
      </c>
      <c r="C27" s="25" t="s">
        <v>40</v>
      </c>
      <c r="D27" s="4"/>
      <c r="E27" s="4"/>
      <c r="F27" s="5" t="s">
        <v>41</v>
      </c>
    </row>
    <row r="28" customFormat="false" ht="15" hidden="false" customHeight="false" outlineLevel="0" collapsed="false">
      <c r="A28" s="6" t="s">
        <v>42</v>
      </c>
      <c r="B28" s="8" t="n">
        <f aca="false">C28*B13/7</f>
        <v>11514.880952381</v>
      </c>
      <c r="C28" s="14" t="n">
        <v>2650</v>
      </c>
      <c r="F28" s="2" t="s">
        <v>43</v>
      </c>
    </row>
    <row r="29" customFormat="false" ht="15" hidden="false" customHeight="false" outlineLevel="0" collapsed="false">
      <c r="A29" s="6" t="s">
        <v>44</v>
      </c>
      <c r="B29" s="26" t="n">
        <f aca="false">'Mois par mois'!P14</f>
        <v>13042.6866666667</v>
      </c>
      <c r="F29" s="2" t="s">
        <v>45</v>
      </c>
    </row>
    <row r="30" customFormat="false" ht="15" hidden="false" customHeight="false" outlineLevel="0" collapsed="false">
      <c r="A30" s="6" t="s">
        <v>46</v>
      </c>
      <c r="B30" s="14" t="n">
        <v>0</v>
      </c>
      <c r="F30" s="2" t="s">
        <v>47</v>
      </c>
    </row>
    <row r="31" customFormat="false" ht="15" hidden="false" customHeight="false" outlineLevel="0" collapsed="false">
      <c r="A31" s="6" t="s">
        <v>48</v>
      </c>
      <c r="B31" s="27" t="n">
        <v>0.45</v>
      </c>
      <c r="F31" s="2" t="s">
        <v>49</v>
      </c>
    </row>
    <row r="32" customFormat="false" ht="15" hidden="false" customHeight="false" outlineLevel="0" collapsed="false">
      <c r="A32" s="19" t="s">
        <v>50</v>
      </c>
      <c r="B32" s="20" t="n">
        <f aca="false">SUM(B28:B30)</f>
        <v>24557.5676190476</v>
      </c>
      <c r="F32" s="2"/>
    </row>
    <row r="33" customFormat="false" ht="15" hidden="false" customHeight="false" outlineLevel="0" collapsed="false">
      <c r="A33" s="6" t="s">
        <v>51</v>
      </c>
      <c r="B33" s="18" t="n">
        <f aca="false">1-B31</f>
        <v>0.55</v>
      </c>
      <c r="F33" s="2"/>
    </row>
    <row r="34" customFormat="false" ht="15" hidden="false" customHeight="false" outlineLevel="0" collapsed="false">
      <c r="A34" s="28" t="s">
        <v>52</v>
      </c>
      <c r="B34" s="29" t="n">
        <f aca="false">IF(B33&gt;0,B32/B33,0)</f>
        <v>44650.1229437229</v>
      </c>
      <c r="F34" s="2" t="s">
        <v>53</v>
      </c>
    </row>
    <row r="35" customFormat="false" ht="15" hidden="false" customHeight="false" outlineLevel="0" collapsed="false">
      <c r="A35" s="6" t="s">
        <v>54</v>
      </c>
      <c r="B35" s="8" t="n">
        <f aca="false">B34/B13</f>
        <v>1467.94924746486</v>
      </c>
      <c r="F35" s="2"/>
    </row>
    <row r="36" customFormat="false" ht="15" hidden="false" customHeight="false" outlineLevel="0" collapsed="false">
      <c r="A36" s="6" t="s">
        <v>55</v>
      </c>
      <c r="B36" s="10" t="n">
        <f aca="false">IF(B9&gt;0,B35/B9,0)</f>
        <v>120.48834034548</v>
      </c>
      <c r="F36" s="2"/>
    </row>
    <row r="37" customFormat="false" ht="15" hidden="false" customHeight="false" outlineLevel="0" collapsed="false">
      <c r="A37" s="6" t="s">
        <v>56</v>
      </c>
      <c r="B37" s="30" t="n">
        <f aca="false">IF(B5&gt;0,1-B34/B5,0)</f>
        <v>0.134743977923088</v>
      </c>
      <c r="F37" s="2" t="s">
        <v>57</v>
      </c>
    </row>
    <row r="38" customFormat="false" ht="15" hidden="false" customHeight="false" outlineLevel="0" collapsed="false">
      <c r="A38" s="6" t="s">
        <v>58</v>
      </c>
      <c r="B38" s="8" t="n">
        <f aca="false">B5*B33-B32</f>
        <v>3824.28352380953</v>
      </c>
      <c r="F38" s="2" t="s">
        <v>59</v>
      </c>
    </row>
    <row r="39" customFormat="false" ht="15" hidden="false" customHeight="false" outlineLevel="0" collapsed="false">
      <c r="A39" s="6" t="s">
        <v>60</v>
      </c>
      <c r="B39" s="8" t="n">
        <f aca="false">B12*B33-B32</f>
        <v>8992.43238095238</v>
      </c>
      <c r="F39" s="2"/>
    </row>
    <row r="40" customFormat="false" ht="15" hidden="false" customHeight="false" outlineLevel="0" collapsed="false">
      <c r="A40" s="6" t="s">
        <v>61</v>
      </c>
      <c r="B40" s="8" t="n">
        <f aca="false">IF(B33&gt;0,1000/B33,0)</f>
        <v>1818.18181818182</v>
      </c>
      <c r="F40" s="2"/>
    </row>
    <row r="41" customFormat="false" ht="15" hidden="false" customHeight="false" outlineLevel="0" collapsed="false">
      <c r="A41" s="6" t="s">
        <v>62</v>
      </c>
      <c r="B41" s="8" t="n">
        <f aca="false">1000*B33</f>
        <v>550</v>
      </c>
      <c r="F41" s="2"/>
    </row>
    <row r="43" customFormat="false" ht="27.75" hidden="false" customHeight="true" outlineLevel="0" collapsed="false">
      <c r="A43" s="3" t="s">
        <v>63</v>
      </c>
      <c r="B43" s="4" t="s">
        <v>64</v>
      </c>
      <c r="C43" s="4" t="s">
        <v>65</v>
      </c>
      <c r="D43" s="4" t="s">
        <v>66</v>
      </c>
      <c r="E43" s="4" t="s">
        <v>67</v>
      </c>
      <c r="F43" s="5" t="s">
        <v>68</v>
      </c>
    </row>
    <row r="44" customFormat="false" ht="15" hidden="false" customHeight="false" outlineLevel="0" collapsed="false">
      <c r="A44" s="6" t="s">
        <v>69</v>
      </c>
      <c r="B44" s="8" t="n">
        <f aca="false">$B$28+'Mois par mois'!P14</f>
        <v>24557.5676190476</v>
      </c>
      <c r="C44" s="31" t="n">
        <f aca="false">'Mois par mois'!J14</f>
        <v>0.45</v>
      </c>
      <c r="D44" s="32" t="n">
        <f aca="false">IF(C44&lt;1,B44/(1-C44),0)</f>
        <v>44650.1229437229</v>
      </c>
      <c r="E44" s="8" t="n">
        <f aca="false">D44/$B$13</f>
        <v>1467.94924746486</v>
      </c>
      <c r="F44" s="33" t="n">
        <f aca="false">IF($B$5&gt;0,1-D44/$B$5,0)</f>
        <v>0.134743977923088</v>
      </c>
    </row>
    <row r="45" customFormat="false" ht="15" hidden="false" customHeight="false" outlineLevel="0" collapsed="false">
      <c r="A45" s="6" t="s">
        <v>70</v>
      </c>
      <c r="B45" s="8" t="n">
        <f aca="false">$B$28+'Mois par mois'!P16*31</f>
        <v>26592.660952381</v>
      </c>
      <c r="C45" s="31" t="n">
        <f aca="false">'Mois par mois'!J14</f>
        <v>0.45</v>
      </c>
      <c r="D45" s="32" t="n">
        <f aca="false">IF(C45&lt;1,B45/(1-C45),0)</f>
        <v>48350.2926406926</v>
      </c>
      <c r="E45" s="8" t="n">
        <f aca="false">D45/$B$13</f>
        <v>1589.59866215976</v>
      </c>
      <c r="F45" s="33" t="n">
        <f aca="false">IF($B$5&gt;0,1-D45/$B$5,0)</f>
        <v>0.0630399399063326</v>
      </c>
    </row>
    <row r="46" customFormat="false" ht="15" hidden="false" customHeight="false" outlineLevel="0" collapsed="false">
      <c r="A46" s="6" t="s">
        <v>71</v>
      </c>
      <c r="B46" s="8" t="n">
        <f aca="false">B44</f>
        <v>24557.5676190476</v>
      </c>
      <c r="C46" s="34" t="n">
        <v>0.4386</v>
      </c>
      <c r="D46" s="32" t="n">
        <f aca="false">IF(C46&lt;1,B46/(1-C46),0)</f>
        <v>43743.4407179331</v>
      </c>
      <c r="E46" s="8" t="n">
        <f aca="false">D46/$B$13</f>
        <v>1438.14051675396</v>
      </c>
      <c r="F46" s="33" t="n">
        <f aca="false">IF($B$5&gt;0,1-D46/$B$5,0)</f>
        <v>0.152314192835231</v>
      </c>
    </row>
    <row r="47" customFormat="false" ht="15" hidden="false" customHeight="false" outlineLevel="0" collapsed="false">
      <c r="A47" s="6" t="s">
        <v>72</v>
      </c>
      <c r="B47" s="8" t="n">
        <f aca="false">B44</f>
        <v>24557.5676190476</v>
      </c>
      <c r="C47" s="31" t="n">
        <f aca="false">'Mois par mois'!T14</f>
        <v>0.364557067933196</v>
      </c>
      <c r="D47" s="32" t="n">
        <f aca="false">IF(C47&lt;1,B47/(1-C47),0)</f>
        <v>38646.3777937904</v>
      </c>
      <c r="E47" s="8" t="n">
        <f aca="false">D47/$B$13</f>
        <v>1270.5658452753</v>
      </c>
      <c r="F47" s="33" t="n">
        <f aca="false">IF($B$5&gt;0,1-D47/$B$5,0)</f>
        <v>0.251088039339037</v>
      </c>
    </row>
    <row r="49" customFormat="false" ht="15" hidden="false" customHeight="false" outlineLevel="0" collapsed="false">
      <c r="A49" s="3" t="s">
        <v>73</v>
      </c>
    </row>
    <row r="50" customFormat="false" ht="24" hidden="false" customHeight="true" outlineLevel="0" collapsed="false">
      <c r="A50" s="35" t="s">
        <v>74</v>
      </c>
      <c r="B50" s="35"/>
      <c r="C50" s="35"/>
      <c r="D50" s="35"/>
      <c r="E50" s="35"/>
      <c r="F50" s="35"/>
    </row>
    <row r="51" customFormat="false" ht="24" hidden="false" customHeight="true" outlineLevel="0" collapsed="false">
      <c r="A51" s="35" t="s">
        <v>75</v>
      </c>
      <c r="B51" s="35"/>
      <c r="C51" s="35"/>
      <c r="D51" s="35"/>
      <c r="E51" s="35"/>
      <c r="F51" s="35"/>
    </row>
    <row r="52" customFormat="false" ht="24" hidden="false" customHeight="true" outlineLevel="0" collapsed="false">
      <c r="A52" s="35" t="s">
        <v>76</v>
      </c>
      <c r="B52" s="35"/>
      <c r="C52" s="35"/>
      <c r="D52" s="35"/>
      <c r="E52" s="35"/>
      <c r="F52" s="35"/>
    </row>
  </sheetData>
  <mergeCells count="3">
    <mergeCell ref="A50:F50"/>
    <mergeCell ref="A51:F51"/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1" min="2" style="0" width="13"/>
  </cols>
  <sheetData>
    <row r="1" customFormat="false" ht="16.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39.75" hidden="false" customHeight="true" outlineLevel="0" collapsed="false">
      <c r="A4" s="5" t="s">
        <v>79</v>
      </c>
      <c r="B4" s="4" t="s">
        <v>80</v>
      </c>
      <c r="C4" s="4" t="s">
        <v>81</v>
      </c>
      <c r="D4" s="4" t="s">
        <v>82</v>
      </c>
      <c r="E4" s="4" t="s">
        <v>83</v>
      </c>
      <c r="F4" s="4" t="s">
        <v>84</v>
      </c>
      <c r="G4" s="4" t="s">
        <v>85</v>
      </c>
      <c r="H4" s="4" t="s">
        <v>86</v>
      </c>
      <c r="I4" s="4" t="s">
        <v>12</v>
      </c>
      <c r="J4" s="4" t="s">
        <v>87</v>
      </c>
      <c r="K4" s="4" t="s">
        <v>88</v>
      </c>
      <c r="L4" s="4" t="s">
        <v>89</v>
      </c>
      <c r="M4" s="4" t="s">
        <v>90</v>
      </c>
      <c r="N4" s="4" t="s">
        <v>91</v>
      </c>
      <c r="O4" s="4" t="s">
        <v>92</v>
      </c>
      <c r="P4" s="4" t="s">
        <v>93</v>
      </c>
      <c r="Q4" s="4" t="s">
        <v>94</v>
      </c>
      <c r="R4" s="4" t="s">
        <v>95</v>
      </c>
      <c r="S4" s="4" t="s">
        <v>96</v>
      </c>
      <c r="T4" s="4" t="s">
        <v>97</v>
      </c>
      <c r="U4" s="4" t="s">
        <v>98</v>
      </c>
    </row>
    <row r="5" customFormat="false" ht="15" hidden="false" customHeight="false" outlineLevel="0" collapsed="false">
      <c r="A5" s="6" t="s">
        <v>99</v>
      </c>
      <c r="B5" s="36" t="n">
        <v>31</v>
      </c>
      <c r="C5" s="17" t="n">
        <v>48767.34</v>
      </c>
      <c r="D5" s="17" t="n">
        <v>62000</v>
      </c>
      <c r="E5" s="30" t="n">
        <f aca="false">IF(D5&gt;0,C5/D5,0)</f>
        <v>0.78657</v>
      </c>
      <c r="F5" s="36" t="n">
        <v>4341</v>
      </c>
      <c r="G5" s="12" t="n">
        <f aca="false">IF(F5&gt;0,C5/F5,0)</f>
        <v>11.2341257774706</v>
      </c>
      <c r="H5" s="8" t="n">
        <f aca="false">IF(B5&gt;0,C5/B5,0)</f>
        <v>1573.14</v>
      </c>
      <c r="I5" s="10" t="n">
        <f aca="false">IF(B5&gt;0,F5/B5,0)</f>
        <v>140.032258064516</v>
      </c>
      <c r="J5" s="31" t="n">
        <f aca="false">Récap!$B$31</f>
        <v>0.45</v>
      </c>
      <c r="K5" s="8" t="n">
        <f aca="false">C5*J5</f>
        <v>21945.303</v>
      </c>
      <c r="L5" s="7" t="n">
        <f aca="false">Récap!$C$28*31/7</f>
        <v>11735.7142857143</v>
      </c>
      <c r="M5" s="18" t="n">
        <f aca="false">IF(C5&gt;0,L5/C5,0)</f>
        <v>0.240647004444251</v>
      </c>
      <c r="N5" s="37" t="n">
        <v>801.5</v>
      </c>
      <c r="O5" s="12" t="n">
        <f aca="false">IF(N5&gt;0,L5/N5,0)</f>
        <v>14.6421887532306</v>
      </c>
      <c r="P5" s="17" t="n">
        <v>9359.52</v>
      </c>
      <c r="Q5" s="18" t="n">
        <f aca="false">IF(C5&gt;0,P5/C5,0)</f>
        <v>0.191921888706663</v>
      </c>
      <c r="R5" s="8" t="n">
        <f aca="false">C5-K5-L5-P5</f>
        <v>5726.80271428571</v>
      </c>
      <c r="S5" s="18" t="n">
        <f aca="false">IF(C5&gt;0,R5/C5,0)</f>
        <v>0.117431106849086</v>
      </c>
      <c r="T5" s="34" t="n">
        <v>0.398</v>
      </c>
      <c r="U5" s="17" t="n">
        <v>6334</v>
      </c>
    </row>
    <row r="6" customFormat="false" ht="15" hidden="false" customHeight="false" outlineLevel="0" collapsed="false">
      <c r="A6" s="6" t="s">
        <v>100</v>
      </c>
      <c r="B6" s="36" t="n">
        <v>30</v>
      </c>
      <c r="C6" s="17" t="n">
        <v>55831.57</v>
      </c>
      <c r="D6" s="17" t="n">
        <v>62000</v>
      </c>
      <c r="E6" s="30" t="n">
        <f aca="false">IF(D6&gt;0,C6/D6,0)</f>
        <v>0.900509193548387</v>
      </c>
      <c r="F6" s="36" t="n">
        <v>4486</v>
      </c>
      <c r="G6" s="12" t="n">
        <f aca="false">IF(F6&gt;0,C6/F6,0)</f>
        <v>12.4457356219349</v>
      </c>
      <c r="H6" s="8" t="n">
        <f aca="false">IF(B6&gt;0,C6/B6,0)</f>
        <v>1861.05233333333</v>
      </c>
      <c r="I6" s="10" t="n">
        <f aca="false">IF(B6&gt;0,F6/B6,0)</f>
        <v>149.533333333333</v>
      </c>
      <c r="J6" s="31" t="n">
        <f aca="false">Récap!$B$31</f>
        <v>0.45</v>
      </c>
      <c r="K6" s="8" t="n">
        <f aca="false">C6*J6</f>
        <v>25124.2065</v>
      </c>
      <c r="L6" s="7" t="n">
        <f aca="false">Récap!$C$28*30/7</f>
        <v>11357.1428571429</v>
      </c>
      <c r="M6" s="18" t="n">
        <f aca="false">IF(C6&gt;0,L6/C6,0)</f>
        <v>0.203417938222817</v>
      </c>
      <c r="N6" s="37" t="n">
        <v>758</v>
      </c>
      <c r="O6" s="12" t="n">
        <f aca="false">IF(N6&gt;0,L6/N6,0)</f>
        <v>14.9830380701093</v>
      </c>
      <c r="P6" s="17" t="n">
        <v>9608.7</v>
      </c>
      <c r="Q6" s="18" t="n">
        <f aca="false">IF(C6&gt;0,P6/C6,0)</f>
        <v>0.172101554729699</v>
      </c>
      <c r="R6" s="8" t="n">
        <f aca="false">C6-K6-L6-P6</f>
        <v>9741.52064285714</v>
      </c>
      <c r="S6" s="18" t="n">
        <f aca="false">IF(C6&gt;0,R6/C6,0)</f>
        <v>0.174480507047485</v>
      </c>
      <c r="T6" s="34" t="n">
        <v>0.391</v>
      </c>
      <c r="U6" s="17" t="n">
        <v>5814.5</v>
      </c>
    </row>
    <row r="7" customFormat="false" ht="15" hidden="false" customHeight="false" outlineLevel="0" collapsed="false">
      <c r="A7" s="6" t="s">
        <v>101</v>
      </c>
      <c r="B7" s="36" t="n">
        <v>31</v>
      </c>
      <c r="C7" s="17" t="n">
        <v>60239.57</v>
      </c>
      <c r="D7" s="17" t="n">
        <v>62000</v>
      </c>
      <c r="E7" s="30" t="n">
        <f aca="false">IF(D7&gt;0,C7/D7,0)</f>
        <v>0.971605967741936</v>
      </c>
      <c r="F7" s="36" t="n">
        <v>4756</v>
      </c>
      <c r="G7" s="12" t="n">
        <f aca="false">IF(F7&gt;0,C7/F7,0)</f>
        <v>12.6660155592935</v>
      </c>
      <c r="H7" s="8" t="n">
        <f aca="false">IF(B7&gt;0,C7/B7,0)</f>
        <v>1943.21193548387</v>
      </c>
      <c r="I7" s="10" t="n">
        <f aca="false">IF(B7&gt;0,F7/B7,0)</f>
        <v>153.41935483871</v>
      </c>
      <c r="J7" s="31" t="n">
        <f aca="false">Récap!$B$31</f>
        <v>0.45</v>
      </c>
      <c r="K7" s="8" t="n">
        <f aca="false">C7*J7</f>
        <v>27107.8065</v>
      </c>
      <c r="L7" s="7" t="n">
        <f aca="false">Récap!$C$28*31/7</f>
        <v>11735.7142857143</v>
      </c>
      <c r="M7" s="18" t="n">
        <f aca="false">IF(C7&gt;0,L7/C7,0)</f>
        <v>0.194817364827045</v>
      </c>
      <c r="N7" s="37" t="n">
        <v>628</v>
      </c>
      <c r="O7" s="12" t="n">
        <f aca="false">IF(N7&gt;0,L7/N7,0)</f>
        <v>18.6874431301183</v>
      </c>
      <c r="P7" s="17" t="n">
        <v>19533.72</v>
      </c>
      <c r="Q7" s="18" t="n">
        <f aca="false">IF(C7&gt;0,P7/C7,0)</f>
        <v>0.324267254895744</v>
      </c>
      <c r="R7" s="8" t="n">
        <f aca="false">C7-K7-L7-P7</f>
        <v>1862.32921428571</v>
      </c>
      <c r="S7" s="18" t="n">
        <f aca="false">IF(C7&gt;0,R7/C7,0)</f>
        <v>0.0309153802772117</v>
      </c>
      <c r="T7" s="34" t="n">
        <v>0.372</v>
      </c>
      <c r="U7" s="17" t="n">
        <v>10080.5</v>
      </c>
    </row>
    <row r="8" customFormat="false" ht="15" hidden="false" customHeight="false" outlineLevel="0" collapsed="false">
      <c r="A8" s="6" t="s">
        <v>102</v>
      </c>
      <c r="B8" s="36" t="n">
        <v>30</v>
      </c>
      <c r="C8" s="17" t="n">
        <v>46947.83</v>
      </c>
      <c r="D8" s="17" t="n">
        <v>62000</v>
      </c>
      <c r="E8" s="30" t="n">
        <f aca="false">IF(D8&gt;0,C8/D8,0)</f>
        <v>0.757223064516129</v>
      </c>
      <c r="F8" s="36" t="n">
        <v>3811</v>
      </c>
      <c r="G8" s="12" t="n">
        <f aca="false">IF(F8&gt;0,C8/F8,0)</f>
        <v>12.3190317501968</v>
      </c>
      <c r="H8" s="8" t="n">
        <f aca="false">IF(B8&gt;0,C8/B8,0)</f>
        <v>1564.92766666667</v>
      </c>
      <c r="I8" s="10" t="n">
        <f aca="false">IF(B8&gt;0,F8/B8,0)</f>
        <v>127.033333333333</v>
      </c>
      <c r="J8" s="31" t="n">
        <f aca="false">Récap!$B$31</f>
        <v>0.45</v>
      </c>
      <c r="K8" s="8" t="n">
        <f aca="false">C8*J8</f>
        <v>21126.5235</v>
      </c>
      <c r="L8" s="7" t="n">
        <f aca="false">Récap!$C$28*30/7</f>
        <v>11357.1428571429</v>
      </c>
      <c r="M8" s="18" t="n">
        <f aca="false">IF(C8&gt;0,L8/C8,0)</f>
        <v>0.241909857327652</v>
      </c>
      <c r="N8" s="37" t="n">
        <v>617.5</v>
      </c>
      <c r="O8" s="12" t="n">
        <f aca="false">IF(N8&gt;0,L8/N8,0)</f>
        <v>18.3921341816079</v>
      </c>
      <c r="P8" s="17" t="n">
        <v>10658.7</v>
      </c>
      <c r="Q8" s="18" t="n">
        <f aca="false">IF(C8&gt;0,P8/C8,0)</f>
        <v>0.227032857535694</v>
      </c>
      <c r="R8" s="8" t="n">
        <f aca="false">C8-K8-L8-P8</f>
        <v>3805.46364285714</v>
      </c>
      <c r="S8" s="18" t="n">
        <f aca="false">IF(C8&gt;0,R8/C8,0)</f>
        <v>0.0810572851366536</v>
      </c>
      <c r="T8" s="34" t="n">
        <v>0.363</v>
      </c>
      <c r="U8" s="17" t="n">
        <v>8714</v>
      </c>
    </row>
    <row r="9" customFormat="false" ht="15" hidden="false" customHeight="false" outlineLevel="0" collapsed="false">
      <c r="A9" s="6" t="s">
        <v>103</v>
      </c>
      <c r="B9" s="36" t="n">
        <v>30</v>
      </c>
      <c r="C9" s="17" t="n">
        <v>46236.55</v>
      </c>
      <c r="D9" s="17" t="n">
        <v>62000</v>
      </c>
      <c r="E9" s="30" t="n">
        <f aca="false">IF(D9&gt;0,C9/D9,0)</f>
        <v>0.745750806451613</v>
      </c>
      <c r="F9" s="36" t="n">
        <v>3776</v>
      </c>
      <c r="G9" s="12" t="n">
        <f aca="false">IF(F9&gt;0,C9/F9,0)</f>
        <v>12.2448490466102</v>
      </c>
      <c r="H9" s="8" t="n">
        <f aca="false">IF(B9&gt;0,C9/B9,0)</f>
        <v>1541.21833333333</v>
      </c>
      <c r="I9" s="10" t="n">
        <f aca="false">IF(B9&gt;0,F9/B9,0)</f>
        <v>125.866666666667</v>
      </c>
      <c r="J9" s="31" t="n">
        <f aca="false">Récap!$B$31</f>
        <v>0.45</v>
      </c>
      <c r="K9" s="8" t="n">
        <f aca="false">C9*J9</f>
        <v>20806.4475</v>
      </c>
      <c r="L9" s="7" t="n">
        <f aca="false">Récap!$C$28*31/7</f>
        <v>11735.7142857143</v>
      </c>
      <c r="M9" s="18" t="n">
        <f aca="false">IF(C9&gt;0,L9/C9,0)</f>
        <v>0.253818987050597</v>
      </c>
      <c r="N9" s="37" t="n">
        <v>675.5</v>
      </c>
      <c r="O9" s="12" t="n">
        <f aca="false">IF(N9&gt;0,L9/N9,0)</f>
        <v>17.3733742201544</v>
      </c>
      <c r="P9" s="17" t="n">
        <v>13042.63</v>
      </c>
      <c r="Q9" s="18" t="n">
        <f aca="false">IF(C9&gt;0,P9/C9,0)</f>
        <v>0.282084844133051</v>
      </c>
      <c r="R9" s="8" t="n">
        <f aca="false">C9-K9-L9-P9</f>
        <v>651.758214285715</v>
      </c>
      <c r="S9" s="18" t="n">
        <f aca="false">IF(C9&gt;0,R9/C9,0)</f>
        <v>0.0140961688163523</v>
      </c>
      <c r="T9" s="34" t="n">
        <v>0.368</v>
      </c>
      <c r="U9" s="17" t="n">
        <v>8110.75</v>
      </c>
    </row>
    <row r="10" customFormat="false" ht="15" hidden="false" customHeight="false" outlineLevel="0" collapsed="false">
      <c r="A10" s="6" t="s">
        <v>104</v>
      </c>
      <c r="B10" s="36" t="n">
        <v>31</v>
      </c>
      <c r="C10" s="17" t="n">
        <v>52350.95</v>
      </c>
      <c r="D10" s="17" t="n">
        <v>61000</v>
      </c>
      <c r="E10" s="30" t="n">
        <f aca="false">IF(D10&gt;0,C10/D10,0)</f>
        <v>0.858212295081967</v>
      </c>
      <c r="F10" s="36" t="n">
        <v>4323</v>
      </c>
      <c r="G10" s="12" t="n">
        <f aca="false">IF(F10&gt;0,C10/F10,0)</f>
        <v>12.1098658339116</v>
      </c>
      <c r="H10" s="8" t="n">
        <f aca="false">IF(B10&gt;0,C10/B10,0)</f>
        <v>1688.74032258065</v>
      </c>
      <c r="I10" s="10" t="n">
        <f aca="false">IF(B10&gt;0,F10/B10,0)</f>
        <v>139.451612903226</v>
      </c>
      <c r="J10" s="31" t="n">
        <f aca="false">Récap!$B$31</f>
        <v>0.45</v>
      </c>
      <c r="K10" s="8" t="n">
        <f aca="false">C10*J10</f>
        <v>23557.9275</v>
      </c>
      <c r="L10" s="7" t="n">
        <f aca="false">Récap!$C$28*31/7</f>
        <v>11735.7142857143</v>
      </c>
      <c r="M10" s="18" t="n">
        <f aca="false">IF(C10&gt;0,L10/C10,0)</f>
        <v>0.22417385521589</v>
      </c>
      <c r="N10" s="37" t="n">
        <v>792</v>
      </c>
      <c r="O10" s="12" t="n">
        <f aca="false">IF(N10&gt;0,L10/N10,0)</f>
        <v>14.8178210678211</v>
      </c>
      <c r="P10" s="17" t="n">
        <v>13042.63</v>
      </c>
      <c r="Q10" s="18" t="n">
        <f aca="false">IF(C10&gt;0,P10/C10,0)</f>
        <v>0.249138363296177</v>
      </c>
      <c r="R10" s="8" t="n">
        <f aca="false">C10-K10-L10-P10</f>
        <v>4014.67821428571</v>
      </c>
      <c r="S10" s="18" t="n">
        <f aca="false">IF(C10&gt;0,R10/C10,0)</f>
        <v>0.0766877814879332</v>
      </c>
      <c r="T10" s="34" t="n">
        <v>0.364</v>
      </c>
      <c r="U10" s="17" t="n">
        <v>8167.75</v>
      </c>
    </row>
    <row r="11" customFormat="false" ht="15" hidden="false" customHeight="false" outlineLevel="0" collapsed="false">
      <c r="A11" s="6" t="s">
        <v>105</v>
      </c>
      <c r="B11" s="36" t="n">
        <v>30</v>
      </c>
      <c r="C11" s="17" t="n">
        <v>50849.75</v>
      </c>
      <c r="D11" s="17" t="n">
        <v>61000</v>
      </c>
      <c r="E11" s="30" t="n">
        <f aca="false">IF(D11&gt;0,C11/D11,0)</f>
        <v>0.833602459016393</v>
      </c>
      <c r="F11" s="36" t="n">
        <v>4156</v>
      </c>
      <c r="G11" s="12" t="n">
        <f aca="false">IF(F11&gt;0,C11/F11,0)</f>
        <v>12.2352622714148</v>
      </c>
      <c r="H11" s="8" t="n">
        <f aca="false">IF(B11&gt;0,C11/B11,0)</f>
        <v>1694.99166666667</v>
      </c>
      <c r="I11" s="10" t="n">
        <f aca="false">IF(B11&gt;0,F11/B11,0)</f>
        <v>138.533333333333</v>
      </c>
      <c r="J11" s="31" t="n">
        <f aca="false">Récap!$B$31</f>
        <v>0.45</v>
      </c>
      <c r="K11" s="8" t="n">
        <f aca="false">C11*J11</f>
        <v>22882.3875</v>
      </c>
      <c r="L11" s="7" t="n">
        <f aca="false">Récap!$C$28*30/7</f>
        <v>11357.1428571429</v>
      </c>
      <c r="M11" s="18" t="n">
        <f aca="false">IF(C11&gt;0,L11/C11,0)</f>
        <v>0.223347073626574</v>
      </c>
      <c r="N11" s="37" t="n">
        <v>782</v>
      </c>
      <c r="O11" s="12" t="n">
        <f aca="false">IF(N11&gt;0,L11/N11,0)</f>
        <v>14.5232005845817</v>
      </c>
      <c r="P11" s="17" t="n">
        <v>13042.8</v>
      </c>
      <c r="Q11" s="18" t="n">
        <f aca="false">IF(C11&gt;0,P11/C11,0)</f>
        <v>0.256496836267632</v>
      </c>
      <c r="R11" s="8" t="n">
        <f aca="false">C11-K11-L11-P11</f>
        <v>3567.41964285714</v>
      </c>
      <c r="S11" s="18" t="n">
        <f aca="false">IF(C11&gt;0,R11/C11,0)</f>
        <v>0.0701560901057949</v>
      </c>
      <c r="T11" s="34" t="n">
        <v>0.362</v>
      </c>
      <c r="U11" s="17" t="n">
        <v>9477.5</v>
      </c>
    </row>
    <row r="12" customFormat="false" ht="15" hidden="false" customHeight="false" outlineLevel="0" collapsed="false">
      <c r="A12" s="38" t="s">
        <v>106</v>
      </c>
      <c r="B12" s="39" t="n">
        <f aca="false">SUM(B5:B11)</f>
        <v>213</v>
      </c>
      <c r="C12" s="40" t="n">
        <f aca="false">SUM(C5:C11)</f>
        <v>361223.56</v>
      </c>
      <c r="D12" s="40" t="n">
        <f aca="false">SUM(D5:D11)</f>
        <v>432000</v>
      </c>
      <c r="E12" s="41" t="n">
        <f aca="false">IF(D12&gt;0,C12/D12,0)</f>
        <v>0.836165648148148</v>
      </c>
      <c r="F12" s="39" t="n">
        <f aca="false">SUM(F5:F11)</f>
        <v>29649</v>
      </c>
      <c r="G12" s="42" t="n">
        <f aca="false">IF(F12&gt;0,C12/F12,0)</f>
        <v>12.1833302978178</v>
      </c>
      <c r="H12" s="40" t="n">
        <f aca="false">IF(B12&gt;0,C12/B12,0)</f>
        <v>1695.88525821596</v>
      </c>
      <c r="I12" s="39" t="n">
        <f aca="false">IF(B12&gt;0,F12/B12,0)</f>
        <v>139.197183098592</v>
      </c>
      <c r="J12" s="43" t="n">
        <f aca="false">IF(C12&gt;0,K12/C12,0)</f>
        <v>0.45</v>
      </c>
      <c r="K12" s="40" t="n">
        <f aca="false">SUM(K5:K11)</f>
        <v>162550.602</v>
      </c>
      <c r="L12" s="40" t="n">
        <f aca="false">SUM(L5:L11)</f>
        <v>81014.2857142857</v>
      </c>
      <c r="M12" s="43" t="n">
        <f aca="false">IF(C12&gt;0,L12/C12,0)</f>
        <v>0.224277413450789</v>
      </c>
      <c r="N12" s="44" t="n">
        <f aca="false">SUM(N5:N11)</f>
        <v>5054.5</v>
      </c>
      <c r="O12" s="42" t="n">
        <f aca="false">IF(N12&gt;0,L12/N12,0)</f>
        <v>16.0281503045377</v>
      </c>
      <c r="P12" s="40" t="n">
        <f aca="false">SUM(P5:P11)</f>
        <v>88288.7</v>
      </c>
      <c r="Q12" s="43" t="n">
        <f aca="false">IF(C12&gt;0,P12/C12,0)</f>
        <v>0.244415674326448</v>
      </c>
      <c r="R12" s="40" t="n">
        <f aca="false">SUM(R5:R11)</f>
        <v>29369.9722857143</v>
      </c>
      <c r="S12" s="43" t="n">
        <f aca="false">IF(C12&gt;0,R12/C12,0)</f>
        <v>0.0813069122227639</v>
      </c>
      <c r="T12" s="43" t="n">
        <f aca="false">IF(SUM(C5:C11)&gt;0,SUMPRODUCT(C5:C11,T5:T11)/SUM(C5:C11),0)</f>
        <v>0.374197998657673</v>
      </c>
      <c r="U12" s="40" t="n">
        <f aca="false">SUM(U5:U11)</f>
        <v>56699</v>
      </c>
    </row>
    <row r="13" customFormat="false" ht="15" hidden="false" customHeight="false" outlineLevel="0" collapsed="false">
      <c r="A13" s="38" t="s">
        <v>107</v>
      </c>
      <c r="B13" s="44" t="n">
        <f aca="false">AVERAGE(B5:B11)</f>
        <v>30.4285714285714</v>
      </c>
      <c r="C13" s="40" t="n">
        <f aca="false">AVERAGE(C5:C11)</f>
        <v>51603.3657142857</v>
      </c>
      <c r="D13" s="40" t="n">
        <f aca="false">AVERAGE(D5:D11)</f>
        <v>61714.2857142857</v>
      </c>
      <c r="E13" s="41" t="n">
        <f aca="false">IF(D13&gt;0,C13/D13,0)</f>
        <v>0.836165648148148</v>
      </c>
      <c r="F13" s="39" t="n">
        <f aca="false">AVERAGE(F5:F11)</f>
        <v>4235.57142857143</v>
      </c>
      <c r="G13" s="42" t="n">
        <f aca="false">IF(F13&gt;0,C13/F13,0)</f>
        <v>12.1833302978178</v>
      </c>
      <c r="H13" s="40" t="n">
        <f aca="false">IF(B13&gt;0,C13/B13,0)</f>
        <v>1695.88525821596</v>
      </c>
      <c r="I13" s="39" t="n">
        <f aca="false">IF(B13&gt;0,F13/B13,0)</f>
        <v>139.197183098592</v>
      </c>
      <c r="J13" s="43" t="n">
        <f aca="false">IF(C13&gt;0,K13/C13,0)</f>
        <v>0.45</v>
      </c>
      <c r="K13" s="40" t="n">
        <f aca="false">AVERAGE(K5:K11)</f>
        <v>23221.5145714286</v>
      </c>
      <c r="L13" s="40" t="n">
        <f aca="false">AVERAGE(L5:L11)</f>
        <v>11573.4693877551</v>
      </c>
      <c r="M13" s="43" t="n">
        <f aca="false">IF(C13&gt;0,L13/C13,0)</f>
        <v>0.224277413450789</v>
      </c>
      <c r="N13" s="44" t="n">
        <f aca="false">AVERAGE(N5:N11)</f>
        <v>722.071428571429</v>
      </c>
      <c r="O13" s="42" t="n">
        <f aca="false">IF(N13&gt;0,L13/N13,0)</f>
        <v>16.0281503045377</v>
      </c>
      <c r="P13" s="40" t="n">
        <f aca="false">AVERAGE(P5:P11)</f>
        <v>12612.6714285714</v>
      </c>
      <c r="Q13" s="43" t="n">
        <f aca="false">IF(C13&gt;0,P13/C13,0)</f>
        <v>0.244415674326448</v>
      </c>
      <c r="R13" s="40" t="n">
        <f aca="false">AVERAGE(R5:R11)</f>
        <v>4195.71032653061</v>
      </c>
      <c r="S13" s="43" t="n">
        <f aca="false">IF(C13&gt;0,R13/C13,0)</f>
        <v>0.0813069122227639</v>
      </c>
      <c r="T13" s="43" t="n">
        <f aca="false">IF(SUM(C5:C11)&gt;0,SUMPRODUCT(C5:C11,T5:T11)/SUM(C5:C11),0)</f>
        <v>0.374197998657673</v>
      </c>
      <c r="U13" s="40" t="n">
        <f aca="false">AVERAGE(U5:U11)</f>
        <v>8099.85714285714</v>
      </c>
    </row>
    <row r="14" customFormat="false" ht="15" hidden="false" customHeight="false" outlineLevel="0" collapsed="false">
      <c r="A14" s="38" t="s">
        <v>108</v>
      </c>
      <c r="B14" s="44" t="n">
        <f aca="false">AVERAGE(B9:B11)</f>
        <v>30.3333333333333</v>
      </c>
      <c r="C14" s="40" t="n">
        <f aca="false">AVERAGE(C9:C11)</f>
        <v>49812.4166666667</v>
      </c>
      <c r="D14" s="40" t="n">
        <f aca="false">AVERAGE(D9:D11)</f>
        <v>61333.3333333333</v>
      </c>
      <c r="E14" s="41" t="n">
        <f aca="false">IF(D14&gt;0,C14/D14,0)</f>
        <v>0.812158967391304</v>
      </c>
      <c r="F14" s="39" t="n">
        <f aca="false">AVERAGE(F9:F11)</f>
        <v>4085</v>
      </c>
      <c r="G14" s="42" t="n">
        <f aca="false">IF(F14&gt;0,C14/F14,0)</f>
        <v>12.1939820481436</v>
      </c>
      <c r="H14" s="40" t="n">
        <f aca="false">IF(B14&gt;0,C14/B14,0)</f>
        <v>1642.16758241758</v>
      </c>
      <c r="I14" s="39" t="n">
        <f aca="false">IF(B14&gt;0,F14/B14,0)</f>
        <v>134.67032967033</v>
      </c>
      <c r="J14" s="43" t="n">
        <f aca="false">IF(C14&gt;0,K14/C14,0)</f>
        <v>0.45</v>
      </c>
      <c r="K14" s="40" t="n">
        <f aca="false">AVERAGE(K9:K11)</f>
        <v>22415.5875</v>
      </c>
      <c r="L14" s="40" t="n">
        <f aca="false">AVERAGE(L9:L11)</f>
        <v>11609.5238095238</v>
      </c>
      <c r="M14" s="43" t="n">
        <f aca="false">IF(C14&gt;0,L14/C14,0)</f>
        <v>0.233064857848839</v>
      </c>
      <c r="N14" s="44" t="n">
        <f aca="false">AVERAGE(N9:N11)</f>
        <v>749.833333333333</v>
      </c>
      <c r="O14" s="42" t="n">
        <f aca="false">IF(N14&gt;0,L14/N14,0)</f>
        <v>15.4828057028546</v>
      </c>
      <c r="P14" s="40" t="n">
        <f aca="false">AVERAGE(P9:P11)</f>
        <v>13042.6866666667</v>
      </c>
      <c r="Q14" s="43" t="n">
        <f aca="false">IF(C14&gt;0,P14/C14,0)</f>
        <v>0.261836054932756</v>
      </c>
      <c r="R14" s="40" t="n">
        <f aca="false">AVERAGE(R9:R11)</f>
        <v>2744.61869047619</v>
      </c>
      <c r="S14" s="43" t="n">
        <f aca="false">IF(C14&gt;0,R14/C14,0)</f>
        <v>0.0550990872184049</v>
      </c>
      <c r="T14" s="43" t="n">
        <f aca="false">IF(SUM(C9:C11)&gt;0,SUMPRODUCT(C9:C11,T9:T11)/SUM(C9:C11),0)</f>
        <v>0.364557067933196</v>
      </c>
      <c r="U14" s="40" t="n">
        <f aca="false">AVERAGE(U9:U11)</f>
        <v>8585.33333333333</v>
      </c>
    </row>
    <row r="16" customFormat="false" ht="15" hidden="false" customHeight="false" outlineLevel="0" collapsed="false">
      <c r="A16" s="45" t="s">
        <v>109</v>
      </c>
      <c r="B16" s="36" t="n">
        <v>12</v>
      </c>
      <c r="C16" s="17" t="n">
        <v>23401.75</v>
      </c>
      <c r="D16" s="17" t="n">
        <v>23834.15</v>
      </c>
      <c r="E16" s="30" t="n">
        <f aca="false">IF(D16&gt;0,C16/D16,0)</f>
        <v>0.981857964307517</v>
      </c>
      <c r="F16" s="36" t="n">
        <v>1835</v>
      </c>
      <c r="G16" s="12" t="n">
        <f aca="false">IF(F16&gt;0,C16/F16,0)</f>
        <v>12.7529972752044</v>
      </c>
      <c r="H16" s="8" t="n">
        <f aca="false">IF(B16&gt;0,C16/B16,0)</f>
        <v>1950.14583333333</v>
      </c>
      <c r="I16" s="10" t="n">
        <f aca="false">IF(B16&gt;0,F16/B16,0)</f>
        <v>152.916666666667</v>
      </c>
      <c r="P16" s="16" t="n">
        <v>486.38</v>
      </c>
      <c r="Q16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3" customFormat="false" ht="15" hidden="false" customHeight="false" outlineLevel="0" collapsed="false">
      <c r="A3" s="6" t="s">
        <v>113</v>
      </c>
      <c r="C3" s="7" t="n">
        <f aca="false">'Mois par mois'!C13</f>
        <v>51603.3657142857</v>
      </c>
    </row>
    <row r="5" customFormat="false" ht="30" hidden="false" customHeight="true" outlineLevel="0" collapsed="false">
      <c r="A5" s="46" t="s">
        <v>114</v>
      </c>
      <c r="B5" s="46" t="s">
        <v>115</v>
      </c>
      <c r="C5" s="46" t="s">
        <v>116</v>
      </c>
      <c r="D5" s="46" t="s">
        <v>117</v>
      </c>
      <c r="E5" s="46" t="s">
        <v>118</v>
      </c>
      <c r="F5" s="46" t="s">
        <v>119</v>
      </c>
    </row>
    <row r="6" customFormat="false" ht="15" hidden="false" customHeight="false" outlineLevel="0" collapsed="false">
      <c r="A6" s="6" t="s">
        <v>120</v>
      </c>
      <c r="B6" s="6" t="s">
        <v>121</v>
      </c>
      <c r="C6" s="34" t="n">
        <v>0</v>
      </c>
      <c r="D6" s="34" t="n">
        <v>0.36</v>
      </c>
      <c r="E6" s="8" t="n">
        <f aca="false">C6*$C$3</f>
        <v>0</v>
      </c>
      <c r="F6" s="6"/>
    </row>
    <row r="7" customFormat="false" ht="15" hidden="false" customHeight="false" outlineLevel="0" collapsed="false">
      <c r="A7" s="6" t="s">
        <v>120</v>
      </c>
      <c r="B7" s="6" t="s">
        <v>122</v>
      </c>
      <c r="C7" s="34" t="n">
        <v>0</v>
      </c>
      <c r="D7" s="34" t="n">
        <v>0.02</v>
      </c>
      <c r="E7" s="8" t="n">
        <f aca="false">C7*$C$3</f>
        <v>0</v>
      </c>
      <c r="F7" s="6"/>
    </row>
    <row r="8" customFormat="false" ht="15" hidden="false" customHeight="false" outlineLevel="0" collapsed="false">
      <c r="A8" s="6" t="s">
        <v>123</v>
      </c>
      <c r="B8" s="6" t="s">
        <v>124</v>
      </c>
      <c r="C8" s="34" t="n">
        <v>0.07</v>
      </c>
      <c r="D8" s="34" t="n">
        <v>0.07</v>
      </c>
      <c r="E8" s="8" t="n">
        <f aca="false">C8*$C$3</f>
        <v>3612.2356</v>
      </c>
      <c r="F8" s="6" t="s">
        <v>125</v>
      </c>
    </row>
    <row r="9" customFormat="false" ht="15" hidden="false" customHeight="false" outlineLevel="0" collapsed="false">
      <c r="A9" s="6" t="s">
        <v>123</v>
      </c>
      <c r="B9" s="6" t="s">
        <v>126</v>
      </c>
      <c r="C9" s="34" t="n">
        <v>0.05</v>
      </c>
      <c r="D9" s="34" t="n">
        <v>0.05</v>
      </c>
      <c r="E9" s="8" t="n">
        <f aca="false">C9*$C$3</f>
        <v>2580.16828571429</v>
      </c>
      <c r="F9" s="6" t="s">
        <v>127</v>
      </c>
    </row>
    <row r="10" customFormat="false" ht="15" hidden="false" customHeight="false" outlineLevel="0" collapsed="false">
      <c r="A10" s="6" t="s">
        <v>123</v>
      </c>
      <c r="B10" s="6" t="s">
        <v>128</v>
      </c>
      <c r="C10" s="34" t="n">
        <v>0.01</v>
      </c>
      <c r="D10" s="34" t="n">
        <v>0.005</v>
      </c>
      <c r="E10" s="8" t="n">
        <f aca="false">C10*$C$3</f>
        <v>516.033657142857</v>
      </c>
      <c r="F10" s="6" t="s">
        <v>129</v>
      </c>
    </row>
    <row r="11" customFormat="false" ht="15" hidden="false" customHeight="false" outlineLevel="0" collapsed="false">
      <c r="A11" s="6" t="s">
        <v>123</v>
      </c>
      <c r="B11" s="6" t="s">
        <v>130</v>
      </c>
      <c r="C11" s="34" t="n">
        <v>0.01</v>
      </c>
      <c r="D11" s="34" t="n">
        <v>0.01</v>
      </c>
      <c r="E11" s="8" t="n">
        <f aca="false">C11*$C$3</f>
        <v>516.033657142857</v>
      </c>
      <c r="F11" s="6" t="s">
        <v>131</v>
      </c>
    </row>
    <row r="12" customFormat="false" ht="15" hidden="false" customHeight="false" outlineLevel="0" collapsed="false">
      <c r="A12" s="6" t="s">
        <v>132</v>
      </c>
      <c r="B12" s="6" t="s">
        <v>133</v>
      </c>
      <c r="C12" s="34" t="n">
        <v>0.02</v>
      </c>
      <c r="D12" s="34" t="n">
        <v>0.02</v>
      </c>
      <c r="E12" s="8" t="n">
        <f aca="false">C12*$C$3</f>
        <v>1032.06731428571</v>
      </c>
      <c r="F12" s="6" t="s">
        <v>125</v>
      </c>
    </row>
    <row r="13" customFormat="false" ht="15" hidden="false" customHeight="false" outlineLevel="0" collapsed="false">
      <c r="A13" s="6" t="s">
        <v>132</v>
      </c>
      <c r="B13" s="6" t="s">
        <v>134</v>
      </c>
      <c r="C13" s="34" t="n">
        <v>0.015</v>
      </c>
      <c r="D13" s="34" t="n">
        <v>0.015</v>
      </c>
      <c r="E13" s="8" t="n">
        <f aca="false">C13*$C$3</f>
        <v>774.050485714286</v>
      </c>
      <c r="F13" s="6" t="s">
        <v>125</v>
      </c>
    </row>
    <row r="14" customFormat="false" ht="15" hidden="false" customHeight="false" outlineLevel="0" collapsed="false">
      <c r="A14" s="6" t="s">
        <v>132</v>
      </c>
      <c r="B14" s="6" t="s">
        <v>135</v>
      </c>
      <c r="C14" s="34" t="n">
        <v>0.015</v>
      </c>
      <c r="D14" s="34" t="n">
        <v>0.015</v>
      </c>
      <c r="E14" s="8" t="n">
        <f aca="false">C14*$C$3</f>
        <v>774.050485714286</v>
      </c>
      <c r="F14" s="6" t="s">
        <v>125</v>
      </c>
    </row>
    <row r="15" customFormat="false" ht="15" hidden="false" customHeight="false" outlineLevel="0" collapsed="false">
      <c r="A15" s="6" t="s">
        <v>136</v>
      </c>
      <c r="B15" s="6" t="s">
        <v>137</v>
      </c>
      <c r="C15" s="34" t="n">
        <v>0.05</v>
      </c>
      <c r="D15" s="34" t="n">
        <v>0.07</v>
      </c>
      <c r="E15" s="8" t="n">
        <f aca="false">C15*$C$3</f>
        <v>2580.16828571429</v>
      </c>
      <c r="F15" s="6" t="s">
        <v>125</v>
      </c>
    </row>
    <row r="16" customFormat="false" ht="15" hidden="false" customHeight="false" outlineLevel="0" collapsed="false">
      <c r="A16" s="6" t="s">
        <v>138</v>
      </c>
      <c r="B16" s="6" t="s">
        <v>139</v>
      </c>
      <c r="C16" s="34" t="n">
        <v>0.015</v>
      </c>
      <c r="D16" s="34" t="n">
        <v>0.015</v>
      </c>
      <c r="E16" s="8" t="n">
        <f aca="false">C16*$C$3</f>
        <v>774.050485714286</v>
      </c>
      <c r="F16" s="6" t="s">
        <v>140</v>
      </c>
    </row>
    <row r="17" customFormat="false" ht="15" hidden="false" customHeight="false" outlineLevel="0" collapsed="false">
      <c r="B17" s="19" t="s">
        <v>141</v>
      </c>
      <c r="C17" s="21" t="n">
        <f aca="false">SUM(C6:C16)</f>
        <v>0.255</v>
      </c>
      <c r="E17" s="20" t="n">
        <f aca="false">SUM(E6:E16)</f>
        <v>13158.8582571429</v>
      </c>
    </row>
    <row r="19" customFormat="false" ht="15" hidden="false" customHeight="false" outlineLevel="0" collapsed="false">
      <c r="A19" s="6" t="s">
        <v>142</v>
      </c>
      <c r="E19" s="7" t="n">
        <f aca="false">'Mois par mois'!P14</f>
        <v>13042.6866666667</v>
      </c>
    </row>
    <row r="20" customFormat="false" ht="15" hidden="false" customHeight="false" outlineLevel="0" collapsed="false">
      <c r="A20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6" min="4" style="0" width="13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8"/>
  </cols>
  <sheetData>
    <row r="1" customFormat="false" ht="16.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3" t="s">
        <v>146</v>
      </c>
    </row>
    <row r="5" customFormat="false" ht="15" hidden="false" customHeight="false" outlineLevel="0" collapsed="false">
      <c r="A5" s="6" t="s">
        <v>147</v>
      </c>
      <c r="B5" s="14" t="n">
        <v>500</v>
      </c>
      <c r="C5" s="2" t="s">
        <v>148</v>
      </c>
    </row>
    <row r="6" customFormat="false" ht="15" hidden="false" customHeight="false" outlineLevel="0" collapsed="false">
      <c r="A6" s="6" t="s">
        <v>149</v>
      </c>
      <c r="B6" s="14" t="n">
        <v>2900</v>
      </c>
      <c r="C6" s="2" t="s">
        <v>150</v>
      </c>
    </row>
    <row r="7" customFormat="false" ht="15" hidden="false" customHeight="false" outlineLevel="0" collapsed="false">
      <c r="A7" s="6" t="s">
        <v>151</v>
      </c>
      <c r="B7" s="15" t="n">
        <f aca="false">52/12</f>
        <v>4.33333333333333</v>
      </c>
      <c r="C7" s="2"/>
    </row>
    <row r="8" customFormat="false" ht="15" hidden="false" customHeight="false" outlineLevel="0" collapsed="false">
      <c r="A8" s="6" t="s">
        <v>152</v>
      </c>
      <c r="B8" s="15" t="n">
        <f aca="false">365/12</f>
        <v>30.4166666666667</v>
      </c>
      <c r="C8" s="2" t="s">
        <v>153</v>
      </c>
    </row>
    <row r="9" customFormat="false" ht="15" hidden="false" customHeight="false" outlineLevel="0" collapsed="false">
      <c r="A9" s="6" t="s">
        <v>154</v>
      </c>
      <c r="B9" s="36" t="n">
        <v>7</v>
      </c>
      <c r="C9" s="2" t="s">
        <v>155</v>
      </c>
    </row>
    <row r="10" customFormat="false" ht="15" hidden="false" customHeight="false" outlineLevel="0" collapsed="false">
      <c r="A10" s="6" t="s">
        <v>156</v>
      </c>
      <c r="B10" s="27" t="n">
        <v>0.05</v>
      </c>
      <c r="C10" s="2" t="s">
        <v>157</v>
      </c>
    </row>
    <row r="11" customFormat="false" ht="15" hidden="false" customHeight="false" outlineLevel="0" collapsed="false">
      <c r="A11" s="6" t="s">
        <v>158</v>
      </c>
      <c r="B11" s="27" t="n">
        <v>0.08</v>
      </c>
      <c r="C11" s="2"/>
    </row>
    <row r="12" customFormat="false" ht="15" hidden="false" customHeight="false" outlineLevel="0" collapsed="false">
      <c r="A12" s="6" t="s">
        <v>159</v>
      </c>
      <c r="B12" s="27" t="n">
        <v>0.15</v>
      </c>
      <c r="C12" s="2" t="s">
        <v>160</v>
      </c>
    </row>
    <row r="13" customFormat="false" ht="15" hidden="false" customHeight="false" outlineLevel="0" collapsed="false">
      <c r="A13" s="6" t="s">
        <v>161</v>
      </c>
      <c r="B13" s="27" t="n">
        <v>0.4</v>
      </c>
      <c r="C13" s="2" t="s">
        <v>162</v>
      </c>
    </row>
    <row r="18" customFormat="false" ht="15" hidden="false" customHeight="false" outlineLevel="0" collapsed="false">
      <c r="A18" s="22" t="s">
        <v>163</v>
      </c>
      <c r="D18" s="14" t="n">
        <v>0</v>
      </c>
      <c r="E18" s="14" t="n">
        <v>5000</v>
      </c>
      <c r="F18" s="14" t="n">
        <v>10000</v>
      </c>
    </row>
    <row r="19" customFormat="false" ht="30" hidden="false" customHeight="true" outlineLevel="0" collapsed="false">
      <c r="A19" s="5" t="s">
        <v>164</v>
      </c>
      <c r="B19" s="4" t="s">
        <v>165</v>
      </c>
      <c r="C19" s="4" t="s">
        <v>166</v>
      </c>
      <c r="D19" s="4" t="s">
        <v>167</v>
      </c>
      <c r="E19" s="4" t="s">
        <v>167</v>
      </c>
      <c r="F19" s="4" t="s">
        <v>167</v>
      </c>
      <c r="G19" s="4" t="s">
        <v>168</v>
      </c>
      <c r="H19" s="4" t="s">
        <v>166</v>
      </c>
      <c r="I19" s="4" t="s">
        <v>169</v>
      </c>
      <c r="J19" s="4" t="s">
        <v>166</v>
      </c>
    </row>
    <row r="20" customFormat="false" ht="15" hidden="false" customHeight="false" outlineLevel="0" collapsed="false">
      <c r="A20" s="22" t="s">
        <v>170</v>
      </c>
      <c r="B20" s="17" t="n">
        <v>49899.43</v>
      </c>
      <c r="C20" s="24" t="n">
        <f aca="false">IF(B$20&lt;&gt;0,B20/B$20,0)</f>
        <v>1</v>
      </c>
      <c r="D20" s="32" t="n">
        <f aca="false">(SUM($B$24:$B$35)+$B$5*$B$7+$B$6+D$18)/(1-($B$21+$B$22)/$B$20)</f>
        <v>54482.910495642</v>
      </c>
      <c r="E20" s="32" t="n">
        <f aca="false">(SUM($B$24:$B$35)+$B$5*$B$7+$B$6+E$18)/(1-($B$21+$B$22)/$B$20)</f>
        <v>64465.763399525</v>
      </c>
      <c r="F20" s="32" t="n">
        <f aca="false">(SUM($B$24:$B$35)+$B$5*$B$7+$B$6+F$18)/(1-($B$21+$B$22)/$B$20)</f>
        <v>74448.6163034081</v>
      </c>
      <c r="G20" s="23" t="n">
        <f aca="false">B20*(1+$B$10)</f>
        <v>52394.4015</v>
      </c>
      <c r="H20" s="24" t="n">
        <f aca="false">IF(G$20&lt;&gt;0,G20/G$20,0)</f>
        <v>1</v>
      </c>
      <c r="I20" s="23" t="n">
        <f aca="false">B20*(1+$B$12)</f>
        <v>57384.3445</v>
      </c>
      <c r="J20" s="24" t="n">
        <f aca="false">IF(I$20&lt;&gt;0,I20/I$20,0)</f>
        <v>1</v>
      </c>
    </row>
    <row r="21" customFormat="false" ht="15" hidden="false" customHeight="false" outlineLevel="0" collapsed="false">
      <c r="A21" s="6" t="s">
        <v>171</v>
      </c>
      <c r="B21" s="17" t="n">
        <v>24123.43</v>
      </c>
      <c r="C21" s="18" t="n">
        <f aca="false">IF(B$20&lt;&gt;0,B21/B$20,0)</f>
        <v>0.48344099321375</v>
      </c>
      <c r="D21" s="8" t="n">
        <f aca="false">D20*$B$21/$B$20</f>
        <v>26339.272363189</v>
      </c>
      <c r="E21" s="8" t="n">
        <f aca="false">E20*$B$21/$B$20</f>
        <v>31165.392686149</v>
      </c>
      <c r="F21" s="8" t="n">
        <f aca="false">F20*$B$21/$B$20</f>
        <v>35991.513009109</v>
      </c>
      <c r="G21" s="8" t="n">
        <f aca="false">B21*(1-$B$11)</f>
        <v>22193.5556</v>
      </c>
      <c r="H21" s="18" t="n">
        <f aca="false">IF(G$20&lt;&gt;0,G21/G$20,0)</f>
        <v>0.423586394053953</v>
      </c>
      <c r="I21" s="8" t="n">
        <f aca="false">I20*$B$13</f>
        <v>22953.7378</v>
      </c>
      <c r="J21" s="18" t="n">
        <f aca="false">IF(I$20&lt;&gt;0,I21/I$20,0)</f>
        <v>0.4</v>
      </c>
    </row>
    <row r="22" customFormat="false" ht="15" hidden="false" customHeight="false" outlineLevel="0" collapsed="false">
      <c r="A22" s="6" t="s">
        <v>172</v>
      </c>
      <c r="B22" s="17" t="n">
        <v>783.43</v>
      </c>
      <c r="C22" s="18" t="n">
        <f aca="false">IF(B$20&lt;&gt;0,B22/B$20,0)</f>
        <v>0.0157001793407259</v>
      </c>
      <c r="D22" s="8" t="n">
        <f aca="false">D20*$B$22/$B$20</f>
        <v>855.391465786299</v>
      </c>
      <c r="E22" s="8" t="n">
        <f aca="false">E20*$B$22/$B$20</f>
        <v>1012.12404670935</v>
      </c>
      <c r="F22" s="8" t="n">
        <f aca="false">F20*$B$22/$B$20</f>
        <v>1168.8566276324</v>
      </c>
      <c r="G22" s="8" t="n">
        <f aca="false">B22</f>
        <v>783.43</v>
      </c>
      <c r="H22" s="18" t="n">
        <f aca="false">IF(G$20&lt;&gt;0,G22/G$20,0)</f>
        <v>0.0149525517530723</v>
      </c>
      <c r="I22" s="8" t="n">
        <f aca="false">IF(B20&gt;0,B22/B20*I20,0)</f>
        <v>900.9445</v>
      </c>
      <c r="J22" s="18" t="n">
        <f aca="false">IF(I$20&lt;&gt;0,I22/I$20,0)</f>
        <v>0.0157001793407259</v>
      </c>
    </row>
    <row r="23" customFormat="false" ht="15" hidden="false" customHeight="false" outlineLevel="0" collapsed="false">
      <c r="A23" s="19" t="s">
        <v>173</v>
      </c>
      <c r="B23" s="20" t="n">
        <f aca="false">B20-B21-B22</f>
        <v>24992.57</v>
      </c>
      <c r="C23" s="24" t="n">
        <f aca="false">IF(B$20&lt;&gt;0,B23/B$20,0)</f>
        <v>0.500858827445524</v>
      </c>
      <c r="D23" s="20" t="n">
        <f aca="false">D20-D21-D22</f>
        <v>27288.2466666667</v>
      </c>
      <c r="E23" s="20" t="n">
        <f aca="false">E20-E21-E22</f>
        <v>32288.2466666667</v>
      </c>
      <c r="F23" s="20" t="n">
        <f aca="false">F20-F21-F22</f>
        <v>37288.2466666667</v>
      </c>
      <c r="G23" s="20" t="n">
        <f aca="false">G20-G21-G22</f>
        <v>29417.4159</v>
      </c>
      <c r="H23" s="24" t="n">
        <f aca="false">IF(G$20&lt;&gt;0,G23/G$20,0)</f>
        <v>0.561461054192975</v>
      </c>
      <c r="I23" s="20" t="n">
        <f aca="false">I20-I21-I22</f>
        <v>33529.6622</v>
      </c>
      <c r="J23" s="24" t="n">
        <f aca="false">IF(I$20&lt;&gt;0,I23/I$20,0)</f>
        <v>0.584299820659274</v>
      </c>
    </row>
    <row r="24" customFormat="false" ht="15" hidden="false" customHeight="false" outlineLevel="0" collapsed="false">
      <c r="A24" s="6" t="s">
        <v>174</v>
      </c>
      <c r="B24" s="17" t="n">
        <v>8026.29</v>
      </c>
      <c r="C24" s="18" t="n">
        <f aca="false">IF(B$20&lt;&gt;0,B24/B$20,0)</f>
        <v>0.160849332347083</v>
      </c>
      <c r="D24" s="8" t="n">
        <f aca="false">$B24</f>
        <v>8026.29</v>
      </c>
      <c r="E24" s="8" t="n">
        <f aca="false">$B24</f>
        <v>8026.29</v>
      </c>
      <c r="F24" s="8" t="n">
        <f aca="false">$B24</f>
        <v>8026.29</v>
      </c>
      <c r="G24" s="8" t="n">
        <f aca="false">$B24</f>
        <v>8026.29</v>
      </c>
      <c r="H24" s="18" t="n">
        <f aca="false">IF(G$20&lt;&gt;0,G24/G$20,0)</f>
        <v>0.153189840330555</v>
      </c>
      <c r="I24" s="8" t="n">
        <f aca="false">$B24</f>
        <v>8026.29</v>
      </c>
      <c r="J24" s="18" t="n">
        <f aca="false">IF(I$20&lt;&gt;0,I24/I$20,0)</f>
        <v>0.139868984649637</v>
      </c>
    </row>
    <row r="25" customFormat="false" ht="15" hidden="false" customHeight="false" outlineLevel="0" collapsed="false">
      <c r="A25" s="6" t="s">
        <v>175</v>
      </c>
      <c r="B25" s="17" t="n">
        <v>4862</v>
      </c>
      <c r="C25" s="18" t="n">
        <f aca="false">IF(B$20&lt;&gt;0,B25/B$20,0)</f>
        <v>0.0974359827356745</v>
      </c>
      <c r="D25" s="8" t="n">
        <f aca="false">$B25</f>
        <v>4862</v>
      </c>
      <c r="E25" s="8" t="n">
        <f aca="false">$B25</f>
        <v>4862</v>
      </c>
      <c r="F25" s="8" t="n">
        <f aca="false">$B25</f>
        <v>4862</v>
      </c>
      <c r="G25" s="8" t="n">
        <f aca="false">$B25</f>
        <v>4862</v>
      </c>
      <c r="H25" s="18" t="n">
        <f aca="false">IF(G$20&lt;&gt;0,G25/G$20,0)</f>
        <v>0.0927961740339758</v>
      </c>
      <c r="I25" s="8" t="n">
        <f aca="false">$B25</f>
        <v>4862</v>
      </c>
      <c r="J25" s="18" t="n">
        <f aca="false">IF(I$20&lt;&gt;0,I25/I$20,0)</f>
        <v>0.0847269415092822</v>
      </c>
    </row>
    <row r="26" customFormat="false" ht="15" hidden="false" customHeight="false" outlineLevel="0" collapsed="false">
      <c r="A26" s="6" t="s">
        <v>176</v>
      </c>
      <c r="B26" s="17" t="n">
        <v>1297.71</v>
      </c>
      <c r="C26" s="18" t="n">
        <f aca="false">IF(B$20&lt;&gt;0,B26/B$20,0)</f>
        <v>0.0260065094931946</v>
      </c>
      <c r="D26" s="8" t="n">
        <f aca="false">$B26</f>
        <v>1297.71</v>
      </c>
      <c r="E26" s="8" t="n">
        <f aca="false">$B26</f>
        <v>1297.71</v>
      </c>
      <c r="F26" s="8" t="n">
        <f aca="false">$B26</f>
        <v>1297.71</v>
      </c>
      <c r="G26" s="8" t="n">
        <f aca="false">$B26</f>
        <v>1297.71</v>
      </c>
      <c r="H26" s="18" t="n">
        <f aca="false">IF(G$20&lt;&gt;0,G26/G$20,0)</f>
        <v>0.024768104279233</v>
      </c>
      <c r="I26" s="8" t="n">
        <f aca="false">$B26</f>
        <v>1297.71</v>
      </c>
      <c r="J26" s="18" t="n">
        <f aca="false">IF(I$20&lt;&gt;0,I26/I$20,0)</f>
        <v>0.0226143560810388</v>
      </c>
    </row>
    <row r="27" customFormat="false" ht="15" hidden="false" customHeight="false" outlineLevel="0" collapsed="false">
      <c r="A27" s="6" t="s">
        <v>177</v>
      </c>
      <c r="B27" s="17" t="n">
        <v>1294.29</v>
      </c>
      <c r="C27" s="18" t="n">
        <f aca="false">IF(B$20&lt;&gt;0,B27/B$20,0)</f>
        <v>0.025937971636149</v>
      </c>
      <c r="D27" s="8" t="n">
        <f aca="false">$B27</f>
        <v>1294.29</v>
      </c>
      <c r="E27" s="8" t="n">
        <f aca="false">$B27</f>
        <v>1294.29</v>
      </c>
      <c r="F27" s="8" t="n">
        <f aca="false">$B27</f>
        <v>1294.29</v>
      </c>
      <c r="G27" s="8" t="n">
        <f aca="false">$B27</f>
        <v>1294.29</v>
      </c>
      <c r="H27" s="18" t="n">
        <f aca="false">IF(G$20&lt;&gt;0,G27/G$20,0)</f>
        <v>0.0247028301296657</v>
      </c>
      <c r="I27" s="8" t="n">
        <f aca="false">$B27</f>
        <v>1294.29</v>
      </c>
      <c r="J27" s="18" t="n">
        <f aca="false">IF(I$20&lt;&gt;0,I27/I$20,0)</f>
        <v>0.0225547579444774</v>
      </c>
    </row>
    <row r="28" customFormat="false" ht="15" hidden="false" customHeight="false" outlineLevel="0" collapsed="false">
      <c r="A28" s="6" t="s">
        <v>178</v>
      </c>
      <c r="B28" s="17" t="n">
        <v>1493</v>
      </c>
      <c r="C28" s="18" t="n">
        <f aca="false">IF(B$20&lt;&gt;0,B28/B$20,0)</f>
        <v>0.0299201814529745</v>
      </c>
      <c r="D28" s="8" t="n">
        <f aca="false">$B28</f>
        <v>1493</v>
      </c>
      <c r="E28" s="8" t="n">
        <f aca="false">$B28</f>
        <v>1493</v>
      </c>
      <c r="F28" s="8" t="n">
        <f aca="false">$B28</f>
        <v>1493</v>
      </c>
      <c r="G28" s="8" t="n">
        <f aca="false">$B28</f>
        <v>1493</v>
      </c>
      <c r="H28" s="18" t="n">
        <f aca="false">IF(G$20&lt;&gt;0,G28/G$20,0)</f>
        <v>0.0284954109075948</v>
      </c>
      <c r="I28" s="8" t="n">
        <f aca="false">$B28</f>
        <v>1493</v>
      </c>
      <c r="J28" s="18" t="n">
        <f aca="false">IF(I$20&lt;&gt;0,I28/I$20,0)</f>
        <v>0.0260175490895431</v>
      </c>
    </row>
    <row r="29" customFormat="false" ht="15" hidden="false" customHeight="false" outlineLevel="0" collapsed="false">
      <c r="A29" s="6" t="s">
        <v>179</v>
      </c>
      <c r="B29" s="17" t="n">
        <v>1110</v>
      </c>
      <c r="C29" s="18" t="n">
        <f aca="false">IF(B$20&lt;&gt;0,B29/B$20,0)</f>
        <v>0.0222447430762235</v>
      </c>
      <c r="D29" s="8" t="n">
        <f aca="false">$B29</f>
        <v>1110</v>
      </c>
      <c r="E29" s="8" t="n">
        <f aca="false">$B29</f>
        <v>1110</v>
      </c>
      <c r="F29" s="8" t="n">
        <f aca="false">$B29</f>
        <v>1110</v>
      </c>
      <c r="G29" s="8" t="n">
        <f aca="false">$B29</f>
        <v>1110</v>
      </c>
      <c r="H29" s="18" t="n">
        <f aca="false">IF(G$20&lt;&gt;0,G29/G$20,0)</f>
        <v>0.0211854695964034</v>
      </c>
      <c r="I29" s="8" t="n">
        <f aca="false">$B29</f>
        <v>1110</v>
      </c>
      <c r="J29" s="18" t="n">
        <f aca="false">IF(I$20&lt;&gt;0,I29/I$20,0)</f>
        <v>0.01934325484889</v>
      </c>
    </row>
    <row r="30" customFormat="false" ht="15" hidden="false" customHeight="false" outlineLevel="0" collapsed="false">
      <c r="A30" s="6" t="s">
        <v>180</v>
      </c>
      <c r="B30" s="17" t="n">
        <v>946.29</v>
      </c>
      <c r="C30" s="18" t="n">
        <f aca="false">IF(B$20&lt;&gt;0,B30/B$20,0)</f>
        <v>0.0189639440771167</v>
      </c>
      <c r="D30" s="8" t="n">
        <f aca="false">$B30</f>
        <v>946.29</v>
      </c>
      <c r="E30" s="8" t="n">
        <f aca="false">$B30</f>
        <v>946.29</v>
      </c>
      <c r="F30" s="8" t="n">
        <f aca="false">$B30</f>
        <v>946.29</v>
      </c>
      <c r="G30" s="8" t="n">
        <f aca="false">$B30</f>
        <v>946.29</v>
      </c>
      <c r="H30" s="18" t="n">
        <f aca="false">IF(G$20&lt;&gt;0,G30/G$20,0)</f>
        <v>0.0180608991210635</v>
      </c>
      <c r="I30" s="8" t="n">
        <f aca="false">$B30</f>
        <v>946.29</v>
      </c>
      <c r="J30" s="18" t="n">
        <f aca="false">IF(I$20&lt;&gt;0,I30/I$20,0)</f>
        <v>0.0164903861540145</v>
      </c>
    </row>
    <row r="31" customFormat="false" ht="15" hidden="false" customHeight="false" outlineLevel="0" collapsed="false">
      <c r="A31" s="6" t="s">
        <v>181</v>
      </c>
      <c r="B31" s="17" t="n">
        <v>866.57</v>
      </c>
      <c r="C31" s="18" t="n">
        <f aca="false">IF(B$20&lt;&gt;0,B31/B$20,0)</f>
        <v>0.0173663306374442</v>
      </c>
      <c r="D31" s="8" t="n">
        <f aca="false">$B31</f>
        <v>866.57</v>
      </c>
      <c r="E31" s="8" t="n">
        <f aca="false">$B31</f>
        <v>866.57</v>
      </c>
      <c r="F31" s="8" t="n">
        <f aca="false">$B31</f>
        <v>866.57</v>
      </c>
      <c r="G31" s="8" t="n">
        <f aca="false">$B31</f>
        <v>866.57</v>
      </c>
      <c r="H31" s="18" t="n">
        <f aca="false">IF(G$20&lt;&gt;0,G31/G$20,0)</f>
        <v>0.0165393625118516</v>
      </c>
      <c r="I31" s="8" t="n">
        <f aca="false">$B31</f>
        <v>866.57</v>
      </c>
      <c r="J31" s="18" t="n">
        <f aca="false">IF(I$20&lt;&gt;0,I31/I$20,0)</f>
        <v>0.0151011570760384</v>
      </c>
    </row>
    <row r="32" customFormat="false" ht="15" hidden="false" customHeight="false" outlineLevel="0" collapsed="false">
      <c r="A32" s="6" t="s">
        <v>182</v>
      </c>
      <c r="B32" s="17" t="n">
        <v>666.86</v>
      </c>
      <c r="C32" s="18" t="n">
        <f aca="false">IF(B$20&lt;&gt;0,B32/B$20,0)</f>
        <v>0.0133640805115409</v>
      </c>
      <c r="D32" s="8" t="n">
        <f aca="false">$B32</f>
        <v>666.86</v>
      </c>
      <c r="E32" s="8" t="n">
        <f aca="false">$B32</f>
        <v>666.86</v>
      </c>
      <c r="F32" s="8" t="n">
        <f aca="false">$B32</f>
        <v>666.86</v>
      </c>
      <c r="G32" s="8" t="n">
        <f aca="false">$B32</f>
        <v>666.86</v>
      </c>
      <c r="H32" s="18" t="n">
        <f aca="false">IF(G$20&lt;&gt;0,G32/G$20,0)</f>
        <v>0.0127276957252771</v>
      </c>
      <c r="I32" s="8" t="n">
        <f aca="false">$B32</f>
        <v>666.86</v>
      </c>
      <c r="J32" s="18" t="n">
        <f aca="false">IF(I$20&lt;&gt;0,I32/I$20,0)</f>
        <v>0.011620939575253</v>
      </c>
    </row>
    <row r="33" customFormat="false" ht="15" hidden="false" customHeight="false" outlineLevel="0" collapsed="false">
      <c r="A33" s="6" t="s">
        <v>183</v>
      </c>
      <c r="B33" s="17" t="n">
        <v>632.57</v>
      </c>
      <c r="C33" s="18" t="n">
        <f aca="false">IF(B$20&lt;&gt;0,B33/B$20,0)</f>
        <v>0.0126768983132673</v>
      </c>
      <c r="D33" s="8" t="n">
        <f aca="false">$B33</f>
        <v>632.57</v>
      </c>
      <c r="E33" s="8" t="n">
        <f aca="false">$B33</f>
        <v>632.57</v>
      </c>
      <c r="F33" s="8" t="n">
        <f aca="false">$B33</f>
        <v>632.57</v>
      </c>
      <c r="G33" s="8" t="n">
        <f aca="false">$B33</f>
        <v>632.57</v>
      </c>
      <c r="H33" s="18" t="n">
        <f aca="false">IF(G$20&lt;&gt;0,G33/G$20,0)</f>
        <v>0.012073236488826</v>
      </c>
      <c r="I33" s="8" t="n">
        <f aca="false">$B33</f>
        <v>632.57</v>
      </c>
      <c r="J33" s="18" t="n">
        <f aca="false">IF(I$20&lt;&gt;0,I33/I$20,0)</f>
        <v>0.0110233898376237</v>
      </c>
    </row>
    <row r="34" customFormat="false" ht="15" hidden="false" customHeight="false" outlineLevel="0" collapsed="false">
      <c r="A34" s="6" t="s">
        <v>184</v>
      </c>
      <c r="B34" s="17" t="n">
        <v>587.14</v>
      </c>
      <c r="C34" s="18" t="n">
        <f aca="false">IF(B$20&lt;&gt;0,B34/B$20,0)</f>
        <v>0.0117664670718684</v>
      </c>
      <c r="D34" s="8" t="n">
        <f aca="false">$B34</f>
        <v>587.14</v>
      </c>
      <c r="E34" s="8" t="n">
        <f aca="false">$B34</f>
        <v>587.14</v>
      </c>
      <c r="F34" s="8" t="n">
        <f aca="false">$B34</f>
        <v>587.14</v>
      </c>
      <c r="G34" s="8" t="n">
        <f aca="false">$B34</f>
        <v>587.14</v>
      </c>
      <c r="H34" s="18" t="n">
        <f aca="false">IF(G$20&lt;&gt;0,G34/G$20,0)</f>
        <v>0.0112061591160651</v>
      </c>
      <c r="I34" s="8" t="n">
        <f aca="false">$B34</f>
        <v>587.14</v>
      </c>
      <c r="J34" s="18" t="n">
        <f aca="false">IF(I$20&lt;&gt;0,I34/I$20,0)</f>
        <v>0.0102317104972768</v>
      </c>
    </row>
    <row r="35" customFormat="false" ht="15" hidden="false" customHeight="false" outlineLevel="0" collapsed="false">
      <c r="A35" s="6" t="s">
        <v>185</v>
      </c>
      <c r="B35" s="17" t="n">
        <v>438.86</v>
      </c>
      <c r="C35" s="18" t="n">
        <f aca="false">IF(B$20&lt;&gt;0,B35/B$20,0)</f>
        <v>0.00879489004183014</v>
      </c>
      <c r="D35" s="8" t="n">
        <f aca="false">$B35</f>
        <v>438.86</v>
      </c>
      <c r="E35" s="8" t="n">
        <f aca="false">$B35</f>
        <v>438.86</v>
      </c>
      <c r="F35" s="8" t="n">
        <f aca="false">$B35</f>
        <v>438.86</v>
      </c>
      <c r="G35" s="8" t="n">
        <f aca="false">$B35</f>
        <v>438.86</v>
      </c>
      <c r="H35" s="18" t="n">
        <f aca="false">IF(G$20&lt;&gt;0,G35/G$20,0)</f>
        <v>0.00837608575412394</v>
      </c>
      <c r="I35" s="8" t="n">
        <f aca="false">$B35</f>
        <v>438.86</v>
      </c>
      <c r="J35" s="18" t="n">
        <f aca="false">IF(I$20&lt;&gt;0,I35/I$20,0)</f>
        <v>0.00764773047115664</v>
      </c>
    </row>
    <row r="36" customFormat="false" ht="15" hidden="false" customHeight="false" outlineLevel="0" collapsed="false">
      <c r="A36" s="19" t="s">
        <v>186</v>
      </c>
      <c r="B36" s="20" t="n">
        <f aca="false">B23-SUM(B24:B35)</f>
        <v>2770.99</v>
      </c>
      <c r="C36" s="24" t="n">
        <f aca="false">IF(B$20&lt;&gt;0,B36/B$20,0)</f>
        <v>0.0555314960511573</v>
      </c>
      <c r="D36" s="20" t="n">
        <f aca="false">D23-SUM(D24:D35)</f>
        <v>5066.66666666667</v>
      </c>
      <c r="E36" s="20" t="n">
        <f aca="false">E23-SUM(E24:E35)</f>
        <v>10066.6666666667</v>
      </c>
      <c r="F36" s="20" t="n">
        <f aca="false">F23-SUM(F24:F35)</f>
        <v>15066.6666666667</v>
      </c>
      <c r="G36" s="20" t="n">
        <f aca="false">G23-SUM(G24:G35)</f>
        <v>7195.8359</v>
      </c>
      <c r="H36" s="24" t="n">
        <f aca="false">IF(G$20&lt;&gt;0,G36/G$20,0)</f>
        <v>0.13733978619834</v>
      </c>
      <c r="I36" s="20" t="n">
        <f aca="false">I23-SUM(I24:I35)</f>
        <v>11308.0822</v>
      </c>
      <c r="J36" s="24" t="n">
        <f aca="false">IF(I$20&lt;&gt;0,I36/I$20,0)</f>
        <v>0.197058662925042</v>
      </c>
    </row>
    <row r="37" customFormat="false" ht="15" hidden="false" customHeight="false" outlineLevel="0" collapsed="false">
      <c r="A37" s="6" t="s">
        <v>187</v>
      </c>
      <c r="B37" s="8" t="n">
        <f aca="false">-$B$5*$B$7</f>
        <v>-2166.66666666667</v>
      </c>
      <c r="C37" s="18" t="n">
        <f aca="false">IF(B$20&lt;&gt;0,B37/B$20,0)</f>
        <v>-0.0434206696683042</v>
      </c>
      <c r="D37" s="8" t="n">
        <f aca="false">-$B$5*$B$7</f>
        <v>-2166.66666666667</v>
      </c>
      <c r="E37" s="8" t="n">
        <f aca="false">-$B$5*$B$7</f>
        <v>-2166.66666666667</v>
      </c>
      <c r="F37" s="8" t="n">
        <f aca="false">-$B$5*$B$7</f>
        <v>-2166.66666666667</v>
      </c>
      <c r="G37" s="8" t="n">
        <f aca="false">-$B$5*$B$7</f>
        <v>-2166.66666666667</v>
      </c>
      <c r="H37" s="18" t="n">
        <f aca="false">IF(G$20&lt;&gt;0,G37/G$20,0)</f>
        <v>-0.0413530187317183</v>
      </c>
      <c r="I37" s="8" t="n">
        <f aca="false">-$B$5*$B$7</f>
        <v>-2166.66666666667</v>
      </c>
      <c r="J37" s="18" t="n">
        <f aca="false">IF(I$20&lt;&gt;0,I37/I$20,0)</f>
        <v>-0.0377571040593949</v>
      </c>
    </row>
    <row r="38" customFormat="false" ht="15" hidden="false" customHeight="false" outlineLevel="0" collapsed="false">
      <c r="A38" s="22" t="s">
        <v>188</v>
      </c>
      <c r="B38" s="23" t="n">
        <f aca="false">B36+B37</f>
        <v>604.323333333331</v>
      </c>
      <c r="C38" s="24" t="n">
        <f aca="false">IF(B$20&lt;&gt;0,B38/B$20,0)</f>
        <v>0.0121108263828531</v>
      </c>
      <c r="D38" s="23" t="n">
        <f aca="false">D36+D37</f>
        <v>2900.00000000001</v>
      </c>
      <c r="E38" s="23" t="n">
        <f aca="false">E36+E37</f>
        <v>7900</v>
      </c>
      <c r="F38" s="23" t="n">
        <f aca="false">F36+F37</f>
        <v>12900</v>
      </c>
      <c r="G38" s="23" t="n">
        <f aca="false">G36+G37</f>
        <v>5029.16923333333</v>
      </c>
      <c r="H38" s="24" t="n">
        <f aca="false">IF(G$20&lt;&gt;0,G38/G$20,0)</f>
        <v>0.095986767466622</v>
      </c>
      <c r="I38" s="23" t="n">
        <f aca="false">I36+I37</f>
        <v>9141.41553333333</v>
      </c>
      <c r="J38" s="24" t="n">
        <f aca="false">IF(I$20&lt;&gt;0,I38/I$20,0)</f>
        <v>0.159301558865647</v>
      </c>
    </row>
    <row r="39" customFormat="false" ht="15" hidden="false" customHeight="false" outlineLevel="0" collapsed="false">
      <c r="A39" s="6" t="s">
        <v>189</v>
      </c>
      <c r="B39" s="8" t="n">
        <f aca="false">-$B$6</f>
        <v>-2900</v>
      </c>
      <c r="C39" s="18" t="n">
        <f aca="false">IF(B$20&lt;&gt;0,B39/B$20,0)</f>
        <v>-0.0581168963252687</v>
      </c>
      <c r="D39" s="8" t="n">
        <f aca="false">-$B$6</f>
        <v>-2900</v>
      </c>
      <c r="E39" s="8" t="n">
        <f aca="false">-$B$6</f>
        <v>-2900</v>
      </c>
      <c r="F39" s="8" t="n">
        <f aca="false">-$B$6</f>
        <v>-2900</v>
      </c>
      <c r="G39" s="8" t="n">
        <f aca="false">-$B$6</f>
        <v>-2900</v>
      </c>
      <c r="H39" s="18" t="n">
        <f aca="false">IF(G$20&lt;&gt;0,G39/G$20,0)</f>
        <v>-0.0553494250716844</v>
      </c>
      <c r="I39" s="8" t="n">
        <f aca="false">-$B$6</f>
        <v>-2900</v>
      </c>
      <c r="J39" s="18" t="n">
        <f aca="false">IF(I$20&lt;&gt;0,I39/I$20,0)</f>
        <v>-0.0505364315871901</v>
      </c>
    </row>
    <row r="40" customFormat="false" ht="15" hidden="false" customHeight="false" outlineLevel="0" collapsed="false">
      <c r="A40" s="19" t="s">
        <v>190</v>
      </c>
      <c r="B40" s="20" t="n">
        <f aca="false">B38+B39</f>
        <v>-2295.67666666667</v>
      </c>
      <c r="C40" s="24" t="n">
        <f aca="false">IF(B$20&lt;&gt;0,B40/B$20,0)</f>
        <v>-0.0460060699424155</v>
      </c>
      <c r="D40" s="20" t="n">
        <f aca="false">D38+D39</f>
        <v>0</v>
      </c>
      <c r="E40" s="20" t="n">
        <f aca="false">E38+E39</f>
        <v>5000</v>
      </c>
      <c r="F40" s="20" t="n">
        <f aca="false">F38+F39</f>
        <v>10000</v>
      </c>
      <c r="G40" s="20" t="n">
        <f aca="false">G38+G39</f>
        <v>2129.16923333333</v>
      </c>
      <c r="H40" s="24" t="n">
        <f aca="false">IF(G$20&lt;&gt;0,G40/G$20,0)</f>
        <v>0.0406373423949376</v>
      </c>
      <c r="I40" s="20" t="n">
        <f aca="false">I38+I39</f>
        <v>6241.41553333333</v>
      </c>
      <c r="J40" s="24" t="n">
        <f aca="false">IF(I$20&lt;&gt;0,I40/I$20,0)</f>
        <v>0.108765127278457</v>
      </c>
    </row>
    <row r="41" customFormat="false" ht="15" hidden="false" customHeight="false" outlineLevel="0" collapsed="false">
      <c r="A41" s="6" t="s">
        <v>191</v>
      </c>
      <c r="D41" s="8" t="n">
        <f aca="false">D20-$B$20</f>
        <v>4583.48049564198</v>
      </c>
      <c r="E41" s="8" t="n">
        <f aca="false">E20-$B$20</f>
        <v>14566.333399525</v>
      </c>
      <c r="F41" s="8" t="n">
        <f aca="false">F20-$B$20</f>
        <v>24549.1863034081</v>
      </c>
      <c r="G41" s="8" t="n">
        <f aca="false">G20-$B$20</f>
        <v>2494.9715</v>
      </c>
      <c r="I41" s="8" t="n">
        <f aca="false">I20-$B$20</f>
        <v>7484.9145</v>
      </c>
    </row>
    <row r="42" customFormat="false" ht="15" hidden="false" customHeight="false" outlineLevel="0" collapsed="false">
      <c r="A42" s="6" t="s">
        <v>192</v>
      </c>
      <c r="D42" s="8" t="n">
        <f aca="false">D41/$B$8</f>
        <v>150.689769719736</v>
      </c>
      <c r="E42" s="8" t="n">
        <f aca="false">E41/$B$8</f>
        <v>478.893152861096</v>
      </c>
      <c r="F42" s="8" t="n">
        <f aca="false">F41/$B$8</f>
        <v>807.096536002456</v>
      </c>
      <c r="G42" s="8" t="n">
        <f aca="false">G41/$B$8</f>
        <v>82.0264602739726</v>
      </c>
      <c r="I42" s="8" t="n">
        <f aca="false">I41/$B$8</f>
        <v>246.079380821918</v>
      </c>
    </row>
    <row r="44" customFormat="false" ht="15" hidden="false" customHeight="false" outlineLevel="0" collapsed="false">
      <c r="A44" s="28" t="s">
        <v>193</v>
      </c>
      <c r="B44" s="32" t="n">
        <f aca="false">IF(B20&gt;0,(SUM(B24:B35)-B37)/(1-(B21+B22)/B20),0)</f>
        <v>48692.8558113898</v>
      </c>
      <c r="G44" s="32" t="n">
        <f aca="false">IF(G20&gt;0,(SUM(G24:G35)-G37)/(1-(G21+G22)/G20),0)</f>
        <v>43437.1119502162</v>
      </c>
      <c r="I44" s="32" t="n">
        <f aca="false">IF(I20&gt;0,(SUM(I24:I35)-I37)/(1-(I21+I22)/I20),0)</f>
        <v>41739.2677600843</v>
      </c>
    </row>
    <row r="45" customFormat="false" ht="15" hidden="false" customHeight="false" outlineLevel="0" collapsed="false">
      <c r="A45" s="28" t="s">
        <v>194</v>
      </c>
      <c r="B45" s="32" t="n">
        <f aca="false">IF(B20&gt;0,(SUM(B24:B35)-B37-B39)/(1-(B21+B22)/B20),0)</f>
        <v>54482.910495642</v>
      </c>
      <c r="G45" s="32" t="n">
        <f aca="false">IF(G20&gt;0,(SUM(G24:G35)-G37-G39)/(1-(G21+G22)/G20),0)</f>
        <v>48602.2075135556</v>
      </c>
      <c r="I45" s="32" t="n">
        <f aca="false">IF(I20&gt;0,(SUM(I24:I35)-I37-I39)/(1-(I21+I22)/I20),0)</f>
        <v>46702.473117101</v>
      </c>
    </row>
    <row r="46" customFormat="false" ht="15" hidden="false" customHeight="false" outlineLevel="0" collapsed="false">
      <c r="A46" s="2" t="s">
        <v>195</v>
      </c>
    </row>
    <row r="48" customFormat="false" ht="15" hidden="false" customHeight="false" outlineLevel="0" collapsed="false">
      <c r="A48" s="3" t="s">
        <v>196</v>
      </c>
    </row>
    <row r="49" customFormat="false" ht="15" hidden="false" customHeight="false" outlineLevel="0" collapsed="false">
      <c r="A49" s="6" t="s">
        <v>197</v>
      </c>
      <c r="B49" s="8" t="n">
        <f aca="false">B20*$B$9</f>
        <v>349296.01</v>
      </c>
    </row>
    <row r="50" customFormat="false" ht="15" hidden="false" customHeight="false" outlineLevel="0" collapsed="false">
      <c r="A50" s="6" t="s">
        <v>198</v>
      </c>
      <c r="B50" s="7" t="n">
        <f aca="false">SUM('Mois par mois'!C5:C11)</f>
        <v>361223.56</v>
      </c>
    </row>
    <row r="51" customFormat="false" ht="15" hidden="false" customHeight="false" outlineLevel="0" collapsed="false">
      <c r="A51" s="6" t="s">
        <v>199</v>
      </c>
      <c r="B51" s="8" t="n">
        <f aca="false">B49-B50</f>
        <v>-11927.55</v>
      </c>
      <c r="C51" s="18" t="n">
        <f aca="false">IF(B50&gt;0,B51/B50,0)</f>
        <v>-0.0330198561799236</v>
      </c>
    </row>
    <row r="53" customFormat="false" ht="15" hidden="false" customHeight="false" outlineLevel="0" collapsed="false">
      <c r="A53" s="3" t="s">
        <v>200</v>
      </c>
      <c r="D53" s="2" t="s">
        <v>201</v>
      </c>
      <c r="G53" s="17" t="n">
        <v>5300</v>
      </c>
    </row>
    <row r="54" customFormat="false" ht="15" hidden="false" customHeight="false" outlineLevel="0" collapsed="false">
      <c r="A54" s="6" t="s">
        <v>202</v>
      </c>
      <c r="B54" s="17" t="n">
        <v>-22600</v>
      </c>
      <c r="D54" s="2" t="s">
        <v>203</v>
      </c>
      <c r="G54" s="36" t="n">
        <v>5</v>
      </c>
    </row>
    <row r="55" customFormat="false" ht="15" hidden="false" customHeight="false" outlineLevel="0" collapsed="false">
      <c r="A55" s="6" t="s">
        <v>204</v>
      </c>
      <c r="B55" s="8" t="n">
        <f aca="false">-$G$53*$G$54</f>
        <v>-26500</v>
      </c>
    </row>
    <row r="56" customFormat="false" ht="15" hidden="false" customHeight="false" outlineLevel="0" collapsed="false">
      <c r="A56" s="6" t="s">
        <v>205</v>
      </c>
      <c r="B56" s="17" t="n">
        <v>-6200</v>
      </c>
    </row>
    <row r="57" customFormat="false" ht="15" hidden="false" customHeight="false" outlineLevel="0" collapsed="false">
      <c r="A57" s="6" t="s">
        <v>206</v>
      </c>
      <c r="B57" s="8" t="n">
        <f aca="false">B36*$B$9</f>
        <v>19396.93</v>
      </c>
    </row>
    <row r="58" customFormat="false" ht="15" hidden="false" customHeight="false" outlineLevel="0" collapsed="false">
      <c r="A58" s="6" t="s">
        <v>207</v>
      </c>
      <c r="B58" s="17" t="n">
        <v>-13400</v>
      </c>
    </row>
    <row r="59" customFormat="false" ht="15" hidden="false" customHeight="false" outlineLevel="0" collapsed="false">
      <c r="A59" s="6" t="s">
        <v>208</v>
      </c>
      <c r="B59" s="17" t="n">
        <v>-11900</v>
      </c>
    </row>
    <row r="60" customFormat="false" ht="15" hidden="false" customHeight="false" outlineLevel="0" collapsed="false">
      <c r="A60" s="19" t="s">
        <v>209</v>
      </c>
      <c r="B60" s="20" t="n">
        <f aca="false">SUM(B54:B59)</f>
        <v>-61203.07</v>
      </c>
    </row>
    <row r="61" customFormat="false" ht="15" hidden="false" customHeight="false" outlineLevel="0" collapsed="false">
      <c r="A61" s="6" t="s">
        <v>210</v>
      </c>
      <c r="B61" s="17" t="n">
        <v>-59900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30" hidden="false" customHeight="true" outlineLevel="0" collapsed="false">
      <c r="A4" s="5" t="s">
        <v>115</v>
      </c>
      <c r="B4" s="4" t="s">
        <v>213</v>
      </c>
      <c r="C4" s="4" t="s">
        <v>166</v>
      </c>
      <c r="D4" s="4" t="s">
        <v>214</v>
      </c>
      <c r="E4" s="4" t="s">
        <v>166</v>
      </c>
      <c r="F4" s="4" t="s">
        <v>215</v>
      </c>
      <c r="G4" s="5" t="s">
        <v>216</v>
      </c>
    </row>
    <row r="5" customFormat="false" ht="15" hidden="false" customHeight="false" outlineLevel="0" collapsed="false">
      <c r="A5" s="22" t="s">
        <v>170</v>
      </c>
      <c r="B5" s="7" t="n">
        <f aca="false">AVERAGE('Mois par mois'!C5:C11)</f>
        <v>51603.3657142857</v>
      </c>
      <c r="D5" s="7" t="n">
        <f aca="false">'Compte d’exploitation'!B20</f>
        <v>49899.43</v>
      </c>
      <c r="F5" s="23" t="n">
        <f aca="false">D5-B5</f>
        <v>-1703.93571428571</v>
      </c>
      <c r="G5" s="2" t="s">
        <v>217</v>
      </c>
    </row>
    <row r="6" customFormat="false" ht="15" hidden="false" customHeight="false" outlineLevel="0" collapsed="false">
      <c r="A6" s="6" t="s">
        <v>218</v>
      </c>
      <c r="B6" s="7" t="n">
        <f aca="false">SUMPRODUCT('Mois par mois'!C5:C11,'Mois par mois'!T5:T11)/7</f>
        <v>19309.8761742857</v>
      </c>
      <c r="C6" s="18" t="n">
        <f aca="false">IF(B$5&gt;0,B6/B$5,0)</f>
        <v>0.374197998657673</v>
      </c>
      <c r="D6" s="7" t="n">
        <f aca="false">'Compte d’exploitation'!B21+'Compte d’exploitation'!B22</f>
        <v>24906.86</v>
      </c>
      <c r="E6" s="18" t="n">
        <f aca="false">IF(D$5&gt;0,D6/D$5,0)</f>
        <v>0.499141172554476</v>
      </c>
      <c r="F6" s="8" t="n">
        <f aca="false">D6-B6</f>
        <v>5596.98382571429</v>
      </c>
      <c r="G6" s="2" t="s">
        <v>219</v>
      </c>
    </row>
    <row r="7" customFormat="false" ht="15" hidden="false" customHeight="false" outlineLevel="0" collapsed="false">
      <c r="A7" s="6" t="s">
        <v>173</v>
      </c>
      <c r="B7" s="8" t="n">
        <f aca="false">B5-B6</f>
        <v>32293.48954</v>
      </c>
      <c r="C7" s="18" t="n">
        <f aca="false">IF(B$5&gt;0,B7/B$5,0)</f>
        <v>0.625802001342327</v>
      </c>
      <c r="D7" s="8" t="n">
        <f aca="false">D5-D6</f>
        <v>24992.57</v>
      </c>
      <c r="E7" s="18" t="n">
        <f aca="false">IF(D$5&gt;0,D7/D$5,0)</f>
        <v>0.500858827445524</v>
      </c>
      <c r="F7" s="8" t="n">
        <f aca="false">D7-B7</f>
        <v>-7300.91954</v>
      </c>
      <c r="G7" s="2"/>
    </row>
    <row r="8" customFormat="false" ht="15" hidden="false" customHeight="false" outlineLevel="0" collapsed="false">
      <c r="A8" s="6" t="s">
        <v>220</v>
      </c>
      <c r="B8" s="7" t="n">
        <f aca="false">AVERAGE('Mois par mois'!U5:U11)</f>
        <v>8099.85714285714</v>
      </c>
      <c r="C8" s="18" t="n">
        <f aca="false">IF(B$5&gt;0,B8/B$5,0)</f>
        <v>0.156963737359767</v>
      </c>
      <c r="D8" s="7" t="n">
        <f aca="false">'Compte d’exploitation'!B24</f>
        <v>8026.29</v>
      </c>
      <c r="E8" s="18" t="n">
        <f aca="false">IF(D$5&gt;0,D8/D$5,0)</f>
        <v>0.160849332347083</v>
      </c>
      <c r="F8" s="8" t="n">
        <f aca="false">D8-B8</f>
        <v>-73.5671428571432</v>
      </c>
      <c r="G8" s="2" t="s">
        <v>221</v>
      </c>
    </row>
    <row r="9" customFormat="false" ht="15" hidden="false" customHeight="false" outlineLevel="0" collapsed="false">
      <c r="A9" s="6" t="s">
        <v>138</v>
      </c>
      <c r="B9" s="7" t="n">
        <f aca="false">AVERAGE('Mois par mois'!P5:P11)</f>
        <v>12612.6714285714</v>
      </c>
      <c r="C9" s="18" t="n">
        <f aca="false">IF(B$5&gt;0,B9/B$5,0)</f>
        <v>0.244415674326448</v>
      </c>
      <c r="D9" s="7" t="n">
        <f aca="false">SUM('Compte d’exploitation'!B25:B35)</f>
        <v>14195.29</v>
      </c>
      <c r="E9" s="18" t="n">
        <f aca="false">IF(D$5&gt;0,D9/D$5,0)</f>
        <v>0.284477999047284</v>
      </c>
      <c r="F9" s="8" t="n">
        <f aca="false">D9-B9</f>
        <v>1582.61857142857</v>
      </c>
      <c r="G9" s="2" t="s">
        <v>222</v>
      </c>
    </row>
    <row r="10" customFormat="false" ht="15" hidden="false" customHeight="false" outlineLevel="0" collapsed="false">
      <c r="A10" s="22" t="s">
        <v>223</v>
      </c>
      <c r="B10" s="8" t="n">
        <f aca="false">B7-B8-B9</f>
        <v>11580.9609685714</v>
      </c>
      <c r="C10" s="18" t="n">
        <f aca="false">IF(B$5&gt;0,B10/B$5,0)</f>
        <v>0.224422589656112</v>
      </c>
      <c r="D10" s="8" t="n">
        <f aca="false">D7-D8-D9</f>
        <v>2770.99</v>
      </c>
      <c r="E10" s="18" t="n">
        <f aca="false">IF(D$5&gt;0,D10/D$5,0)</f>
        <v>0.0555314960511573</v>
      </c>
      <c r="F10" s="23" t="n">
        <f aca="false">D10-B10</f>
        <v>-8809.97096857143</v>
      </c>
      <c r="G10" s="2" t="s">
        <v>224</v>
      </c>
    </row>
    <row r="11" customFormat="false" ht="15" hidden="false" customHeight="false" outlineLevel="0" collapsed="false">
      <c r="A11" s="6" t="s">
        <v>225</v>
      </c>
      <c r="B11" s="8" t="n">
        <f aca="false">IF(B5&gt;0,(B8+B9)/(1-B6/B5),0)</f>
        <v>33097.5748351728</v>
      </c>
      <c r="D11" s="8" t="n">
        <f aca="false">IF(D5&gt;0,(D8+D9)/(1-D6/D5),0)</f>
        <v>44366.9528863738</v>
      </c>
      <c r="F11" s="8" t="n">
        <f aca="false">D11-B11</f>
        <v>11269.378051201</v>
      </c>
      <c r="G11" s="2" t="s">
        <v>226</v>
      </c>
    </row>
    <row r="12" customFormat="false" ht="15" hidden="false" customHeight="false" outlineLevel="0" collapsed="false">
      <c r="A12" s="6" t="s">
        <v>227</v>
      </c>
      <c r="B12" s="9" t="n">
        <f aca="false">AVERAGE('Mois par mois'!F5:F11)</f>
        <v>4235.57142857143</v>
      </c>
    </row>
    <row r="13" customFormat="false" ht="15" hidden="false" customHeight="false" outlineLevel="0" collapsed="false">
      <c r="A13" s="6" t="s">
        <v>228</v>
      </c>
      <c r="B13" s="12" t="n">
        <f aca="false">IF(B12&gt;0,B5/B12,0)</f>
        <v>12.1833302978178</v>
      </c>
    </row>
    <row r="15" customFormat="false" ht="15" hidden="false" customHeight="false" outlineLevel="0" collapsed="false">
      <c r="A15" s="3" t="s">
        <v>229</v>
      </c>
    </row>
    <row r="16" customFormat="false" ht="15" hidden="false" customHeight="false" outlineLevel="0" collapsed="false">
      <c r="A16" s="6" t="s">
        <v>230</v>
      </c>
      <c r="B16" s="8" t="n">
        <f aca="false">B10</f>
        <v>11580.9609685714</v>
      </c>
    </row>
    <row r="17" customFormat="false" ht="15" hidden="false" customHeight="false" outlineLevel="0" collapsed="false">
      <c r="A17" s="6" t="s">
        <v>231</v>
      </c>
      <c r="B17" s="8" t="n">
        <f aca="false">D5-B5</f>
        <v>-1703.93571428571</v>
      </c>
    </row>
    <row r="18" customFormat="false" ht="15" hidden="false" customHeight="false" outlineLevel="0" collapsed="false">
      <c r="A18" s="6" t="s">
        <v>232</v>
      </c>
      <c r="B18" s="8" t="n">
        <f aca="false">-(D6-B6)</f>
        <v>-5596.98382571429</v>
      </c>
    </row>
    <row r="19" customFormat="false" ht="15" hidden="false" customHeight="false" outlineLevel="0" collapsed="false">
      <c r="A19" s="6" t="s">
        <v>233</v>
      </c>
      <c r="B19" s="8" t="n">
        <f aca="false">-(D8-B8)</f>
        <v>73.5671428571432</v>
      </c>
    </row>
    <row r="20" customFormat="false" ht="15" hidden="false" customHeight="false" outlineLevel="0" collapsed="false">
      <c r="A20" s="6" t="s">
        <v>234</v>
      </c>
      <c r="B20" s="8" t="n">
        <f aca="false">-(D9-B9)</f>
        <v>-1582.61857142857</v>
      </c>
    </row>
    <row r="21" customFormat="false" ht="15" hidden="false" customHeight="false" outlineLevel="0" collapsed="false">
      <c r="A21" s="19" t="s">
        <v>235</v>
      </c>
      <c r="B21" s="20" t="n">
        <f aca="false">SUM(B16:B20)</f>
        <v>2770.99</v>
      </c>
      <c r="C21" s="2" t="str">
        <f aca="false">IF(ABS(B21-D10)&lt;1,"= bilan","écart")</f>
        <v>= bilan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9" min="6" style="0" width="15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4" customFormat="false" ht="15" hidden="false" customHeight="false" outlineLevel="0" collapsed="false">
      <c r="A4" s="6" t="s">
        <v>152</v>
      </c>
      <c r="B4" s="47" t="n">
        <f aca="false">Récap!B13</f>
        <v>30.4166666666667</v>
      </c>
      <c r="D4" s="6" t="s">
        <v>238</v>
      </c>
      <c r="F4" s="31" t="n">
        <f aca="false">1-('Compte d’exploitation'!B21+'Compte d’exploitation'!B22)/'Compte d’exploitation'!B20</f>
        <v>0.500858827445524</v>
      </c>
    </row>
    <row r="5" customFormat="false" ht="15" hidden="false" customHeight="false" outlineLevel="0" collapsed="false">
      <c r="A5" s="6" t="s">
        <v>13</v>
      </c>
      <c r="B5" s="11" t="n">
        <f aca="false">Récap!B9</f>
        <v>12.1833302978178</v>
      </c>
      <c r="D5" s="6" t="s">
        <v>239</v>
      </c>
      <c r="F5" s="7" t="n">
        <f aca="false">'Compte d’exploitation'!B38</f>
        <v>604.323333333331</v>
      </c>
    </row>
    <row r="6" customFormat="false" ht="15" hidden="false" customHeight="false" outlineLevel="0" collapsed="false">
      <c r="A6" s="6" t="s">
        <v>12</v>
      </c>
      <c r="B6" s="9" t="n">
        <f aca="false">Récap!B8</f>
        <v>139.197183098592</v>
      </c>
      <c r="D6" s="6" t="s">
        <v>240</v>
      </c>
      <c r="F6" s="7" t="n">
        <f aca="false">'Compte d’exploitation'!B40</f>
        <v>-2295.67666666667</v>
      </c>
    </row>
    <row r="7" customFormat="false" ht="15" hidden="false" customHeight="false" outlineLevel="0" collapsed="false">
      <c r="A7" s="6" t="s">
        <v>241</v>
      </c>
      <c r="B7" s="31" t="n">
        <f aca="false">1-Récap!B31</f>
        <v>0.55</v>
      </c>
    </row>
    <row r="8" customFormat="false" ht="15" hidden="false" customHeight="false" outlineLevel="0" collapsed="false">
      <c r="A8" s="6" t="s">
        <v>242</v>
      </c>
      <c r="B8" s="7" t="n">
        <f aca="false">Récap!B25</f>
        <v>4195.71032653061</v>
      </c>
    </row>
    <row r="10" customFormat="false" ht="39.75" hidden="false" customHeight="true" outlineLevel="0" collapsed="false">
      <c r="A10" s="4" t="s">
        <v>243</v>
      </c>
      <c r="B10" s="4" t="s">
        <v>191</v>
      </c>
      <c r="C10" s="4" t="s">
        <v>244</v>
      </c>
      <c r="D10" s="4" t="s">
        <v>245</v>
      </c>
      <c r="E10" s="4" t="s">
        <v>246</v>
      </c>
      <c r="F10" s="4" t="s">
        <v>247</v>
      </c>
      <c r="G10" s="4" t="s">
        <v>248</v>
      </c>
      <c r="H10" s="4" t="s">
        <v>249</v>
      </c>
      <c r="I10" s="4" t="s">
        <v>250</v>
      </c>
      <c r="J10" s="4" t="s">
        <v>251</v>
      </c>
    </row>
    <row r="11" customFormat="false" ht="15" hidden="false" customHeight="false" outlineLevel="0" collapsed="false">
      <c r="A11" s="17" t="n">
        <v>0</v>
      </c>
      <c r="B11" s="8" t="n">
        <f aca="false">A11*$B$4</f>
        <v>0</v>
      </c>
      <c r="C11" s="8" t="n">
        <f aca="false">A11*365</f>
        <v>0</v>
      </c>
      <c r="D11" s="15" t="n">
        <f aca="false">IF($B$5&gt;0,A11/$B$5,0)</f>
        <v>0</v>
      </c>
      <c r="E11" s="12" t="n">
        <f aca="false">IF($B$6&gt;0,A11/$B$6,0)</f>
        <v>0</v>
      </c>
      <c r="F11" s="8" t="n">
        <f aca="false">B11*$B$7</f>
        <v>0</v>
      </c>
      <c r="G11" s="23" t="n">
        <f aca="false">$B$8+F11</f>
        <v>4195.71032653061</v>
      </c>
      <c r="H11" s="8" t="n">
        <f aca="false">B11*$F$4</f>
        <v>0</v>
      </c>
      <c r="I11" s="23" t="n">
        <f aca="false">$F$5+H11</f>
        <v>604.323333333331</v>
      </c>
      <c r="J11" s="23" t="n">
        <f aca="false">$F$6+H11</f>
        <v>-2295.67666666667</v>
      </c>
    </row>
    <row r="12" customFormat="false" ht="15" hidden="false" customHeight="false" outlineLevel="0" collapsed="false">
      <c r="A12" s="17" t="n">
        <v>50</v>
      </c>
      <c r="B12" s="8" t="n">
        <f aca="false">A12*$B$4</f>
        <v>1520.83333333333</v>
      </c>
      <c r="C12" s="8" t="n">
        <f aca="false">A12*365</f>
        <v>18250</v>
      </c>
      <c r="D12" s="15" t="n">
        <f aca="false">IF($B$5&gt;0,A12/$B$5,0)</f>
        <v>4.10396819077914</v>
      </c>
      <c r="E12" s="12" t="n">
        <f aca="false">IF($B$6&gt;0,A12/$B$6,0)</f>
        <v>0.359202671253668</v>
      </c>
      <c r="F12" s="8" t="n">
        <f aca="false">B12*$B$7</f>
        <v>836.458333333334</v>
      </c>
      <c r="G12" s="23" t="n">
        <f aca="false">$B$8+F12</f>
        <v>5032.16865986395</v>
      </c>
      <c r="H12" s="8" t="n">
        <f aca="false">B12*$F$4</f>
        <v>761.722800073401</v>
      </c>
      <c r="I12" s="23" t="n">
        <f aca="false">$F$5+H12</f>
        <v>1366.04613340673</v>
      </c>
      <c r="J12" s="23" t="n">
        <f aca="false">$F$6+H12</f>
        <v>-1533.95386659327</v>
      </c>
    </row>
    <row r="13" customFormat="false" ht="15" hidden="false" customHeight="false" outlineLevel="0" collapsed="false">
      <c r="A13" s="17" t="n">
        <v>100</v>
      </c>
      <c r="B13" s="8" t="n">
        <f aca="false">A13*$B$4</f>
        <v>3041.66666666667</v>
      </c>
      <c r="C13" s="8" t="n">
        <f aca="false">A13*365</f>
        <v>36500</v>
      </c>
      <c r="D13" s="15" t="n">
        <f aca="false">IF($B$5&gt;0,A13/$B$5,0)</f>
        <v>8.20793638155828</v>
      </c>
      <c r="E13" s="12" t="n">
        <f aca="false">IF($B$6&gt;0,A13/$B$6,0)</f>
        <v>0.718405342507336</v>
      </c>
      <c r="F13" s="8" t="n">
        <f aca="false">B13*$B$7</f>
        <v>1672.91666666667</v>
      </c>
      <c r="G13" s="23" t="n">
        <f aca="false">$B$8+F13</f>
        <v>5868.62699319728</v>
      </c>
      <c r="H13" s="8" t="n">
        <f aca="false">B13*$F$4</f>
        <v>1523.4456001468</v>
      </c>
      <c r="I13" s="23" t="n">
        <f aca="false">$F$5+H13</f>
        <v>2127.76893348013</v>
      </c>
      <c r="J13" s="23" t="n">
        <f aca="false">$F$6+H13</f>
        <v>-772.231066519867</v>
      </c>
    </row>
    <row r="14" customFormat="false" ht="15" hidden="false" customHeight="false" outlineLevel="0" collapsed="false">
      <c r="A14" s="17" t="n">
        <v>150</v>
      </c>
      <c r="B14" s="8" t="n">
        <f aca="false">A14*$B$4</f>
        <v>4562.5</v>
      </c>
      <c r="C14" s="8" t="n">
        <f aca="false">A14*365</f>
        <v>54750</v>
      </c>
      <c r="D14" s="15" t="n">
        <f aca="false">IF($B$5&gt;0,A14/$B$5,0)</f>
        <v>12.3119045723374</v>
      </c>
      <c r="E14" s="12" t="n">
        <f aca="false">IF($B$6&gt;0,A14/$B$6,0)</f>
        <v>1.077608013761</v>
      </c>
      <c r="F14" s="8" t="n">
        <f aca="false">B14*$B$7</f>
        <v>2509.375</v>
      </c>
      <c r="G14" s="23" t="n">
        <f aca="false">$B$8+F14</f>
        <v>6705.08532653061</v>
      </c>
      <c r="H14" s="8" t="n">
        <f aca="false">B14*$F$4</f>
        <v>2285.1684002202</v>
      </c>
      <c r="I14" s="23" t="n">
        <f aca="false">$F$5+H14</f>
        <v>2889.49173355353</v>
      </c>
      <c r="J14" s="23" t="n">
        <f aca="false">$F$6+H14</f>
        <v>-10.5082664464658</v>
      </c>
    </row>
    <row r="15" customFormat="false" ht="15" hidden="false" customHeight="false" outlineLevel="0" collapsed="false">
      <c r="A15" s="17" t="n">
        <v>200</v>
      </c>
      <c r="B15" s="8" t="n">
        <f aca="false">A15*$B$4</f>
        <v>6083.33333333333</v>
      </c>
      <c r="C15" s="8" t="n">
        <f aca="false">A15*365</f>
        <v>73000</v>
      </c>
      <c r="D15" s="15" t="n">
        <f aca="false">IF($B$5&gt;0,A15/$B$5,0)</f>
        <v>16.4158727631166</v>
      </c>
      <c r="E15" s="12" t="n">
        <f aca="false">IF($B$6&gt;0,A15/$B$6,0)</f>
        <v>1.43681068501467</v>
      </c>
      <c r="F15" s="8" t="n">
        <f aca="false">B15*$B$7</f>
        <v>3345.83333333333</v>
      </c>
      <c r="G15" s="23" t="n">
        <f aca="false">$B$8+F15</f>
        <v>7541.54365986395</v>
      </c>
      <c r="H15" s="8" t="n">
        <f aca="false">B15*$F$4</f>
        <v>3046.8912002936</v>
      </c>
      <c r="I15" s="23" t="n">
        <f aca="false">$F$5+H15</f>
        <v>3651.21453362694</v>
      </c>
      <c r="J15" s="23" t="n">
        <f aca="false">$F$6+H15</f>
        <v>751.214533626936</v>
      </c>
    </row>
    <row r="16" customFormat="false" ht="15" hidden="false" customHeight="false" outlineLevel="0" collapsed="false">
      <c r="A16" s="17" t="n">
        <v>250</v>
      </c>
      <c r="B16" s="8" t="n">
        <f aca="false">A16*$B$4</f>
        <v>7604.16666666667</v>
      </c>
      <c r="C16" s="8" t="n">
        <f aca="false">A16*365</f>
        <v>91250</v>
      </c>
      <c r="D16" s="15" t="n">
        <f aca="false">IF($B$5&gt;0,A16/$B$5,0)</f>
        <v>20.5198409538957</v>
      </c>
      <c r="E16" s="12" t="n">
        <f aca="false">IF($B$6&gt;0,A16/$B$6,0)</f>
        <v>1.79601335626834</v>
      </c>
      <c r="F16" s="8" t="n">
        <f aca="false">B16*$B$7</f>
        <v>4182.29166666667</v>
      </c>
      <c r="G16" s="23" t="n">
        <f aca="false">$B$8+F16</f>
        <v>8378.00199319728</v>
      </c>
      <c r="H16" s="8" t="n">
        <f aca="false">B16*$F$4</f>
        <v>3808.61400036701</v>
      </c>
      <c r="I16" s="23" t="n">
        <f aca="false">$F$5+H16</f>
        <v>4412.93733370034</v>
      </c>
      <c r="J16" s="23" t="n">
        <f aca="false">$F$6+H16</f>
        <v>1512.93733370034</v>
      </c>
    </row>
    <row r="18" customFormat="false" ht="15" hidden="false" customHeight="false" outlineLevel="0" collapsed="false">
      <c r="A18" s="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2026-10-14T04:34:27Z</dcterms:created>
  <dc:creator>openpyxl</dc:creator>
  <dc:description/>
  <dc:language>en-US</dc:language>
  <cp:lastModifiedBy/>
  <dcterms:modified xsi:type="dcterms:W3CDTF">2026-10-14T04:34:27Z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