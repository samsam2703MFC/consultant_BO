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<sst xmlns="http://schemas.openxmlformats.org/spreadsheetml/2006/main" count="284" uniqueCount="257">
  <si>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</si>
  <si>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</si>
  <si>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</si>
  <si>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</si>
  <si>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</si>
  <si>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</si>
  <si>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</si>
  <si>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</si>
  <si>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</si>
  <si>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</si>
  <si>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</si>
  <si>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</si>
  <si>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</si>
  <si>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</si>
  <si>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</si>
  <si>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</si>
  <si>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</si>
  <si>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</si>
  <si>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</si>
  <si>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</si>
  <si>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</si>
  <si>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</si>
  <si>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</si>
  <si>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</si>
  <si>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</si>
  <si>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</si>
  <si>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</si>
  <si>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</si>
  <si>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</si>
  <si>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</si>
  <si>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</si>
  <si>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</si>
  <si>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</si>
  <si>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</si>
  <si>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</si>
  <si>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</si>
  <si>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</si>
  <si>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</si>
  <si>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</si>
  <si>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</si>
  <si>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</si>
  <si>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</si>
  <si>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</si>
  <si>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</si>
  <si>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</si>
  <si>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</si>
  <si>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</si>
  <si>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</si>
  <si>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</si>
  <si>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</si>
  <si>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</si>
  <si>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</si>
  <si>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</si>
  <si>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</si>
  <si>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</si>
  <si>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</si>
  <si>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</si>
  <si>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</si>
  <si>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</si>
  <si>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</si>
  <si>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</si>
  <si>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</si>
  <si>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</si>
  <si>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</si>
  <si>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</si>
  <si>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</si>
  <si>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</si>
  <si>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</si>
  <si>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</si>
  <si>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</si>
  <si>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</si>
  <si>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</si>
  <si>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</si>
  <si>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</si>
  <si>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</si>
  <si>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</si>
  <si>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</si>
  <si>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</si>
  <si>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</si>
  <si>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</si>
  <si>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</si>
  <si>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</si>
  <si>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</si>
  <si>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</si>
  <si>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</si>
  <si>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</si>
  <si>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</si>
  <si>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</si>
  <si>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</si>
  <si>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</si>
  <si>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</si>
  <si>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</si>
  <si>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</si>
  <si>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</si>
  <si>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</si>
  <si>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</si>
  <si>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</si>
  <si>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</si>
  <si>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</si>
  <si>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</si>
  <si>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</si>
  <si>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</si>
  <si>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</si>
  <si>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</si>
  <si>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</si>
  <si>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</si>
  <si>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</si>
  <si>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</si>
  <si>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</si>
  <si>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</si>
  <si>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</si>
  <si>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</si>
  <si>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</si>
  <si>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</si>
  <si>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</si>
  <si>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</si>
  <si>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</si>
  <si>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</si>
  <si>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</si>
  <si>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</si>
  <si>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</si>
  <si>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</si>
  <si>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</si>
  <si>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</si>
  <si>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</si>
  <si>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</si>
  <si>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</si>
  <si>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</si>
  <si>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</si>
  <si>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</si>
  <si>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</si>
  <si>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</si>
  <si>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</si>
  <si>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</si>
  <si>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</si>
  <si>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</si>
  <si>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</si>
  <si>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</si>
  <si>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</si>
  <si>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</si>
  <si>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</si>
  <si>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</si>
  <si>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</si>
  <si>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</si>
  <si>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</si>
  <si>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</si>
  <si>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</si>
  <si>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</si>
  <si>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</si>
  <si>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</si>
  <si>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</si>
  <si>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</si>
  <si>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</si>
  <si>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</si>
  <si>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</si>
  <si>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</si>
  <si>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</si>
  <si>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</si>
  <si>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</si>
  <si>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Sorties tracées (B3), % des achats</t>
  </si>
  <si>
    <t xml:space="preserve">Achats fournitures sur la période</t>
  </si>
  <si>
    <t xml:space="preserve">total de la période</t>
  </si>
  <si>
    <t xml:space="preserve">Audit fournitures (B4), % de la ligne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</si>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</sst>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0.04</v>
      </c>
      <c r="C12" s="2"/>
    </row>
    <row r="13" customFormat="false" ht="15" hidden="false" customHeight="false" outlineLevel="0" collapsed="false">
      <c r="A13" s="6" t="s">
        <v>160</v>
      </c>
      <c r="B13" s="17" t="n">
        <v>19500</v>
      </c>
      <c r="C13" s="2" t="s">
        <v>161</v>
      </c>
    </row>
    <row r="14" customFormat="false" ht="15" hidden="false" customHeight="false" outlineLevel="0" collapsed="false">
      <c r="A14" s="6" t="s">
        <v>162</v>
      </c>
      <c r="B14" s="27" t="n">
        <v>0.35</v>
      </c>
      <c r="C14" s="2"/>
    </row>
    <row r="15" customFormat="false" ht="15" hidden="false" customHeight="false" outlineLevel="0" collapsed="false">
      <c r="A15" s="6" t="s">
        <v>163</v>
      </c>
      <c r="B15" s="27" t="n">
        <v>0.15</v>
      </c>
      <c r="C15" s="2" t="s">
        <v>164</v>
      </c>
    </row>
    <row r="16" customFormat="false" ht="15" hidden="false" customHeight="false" outlineLevel="0" collapsed="false">
      <c r="A16" s="6" t="s">
        <v>165</v>
      </c>
      <c r="B16" s="27" t="n">
        <v>0.4</v>
      </c>
      <c r="C16" s="2" t="s">
        <v>166</v>
      </c>
    </row>
    <row r="18" customFormat="false" ht="15" hidden="false" customHeight="false" outlineLevel="0" collapsed="false">
      <c r="A18" s="22" t="s">
        <v>167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168</v>
      </c>
      <c r="B19" s="4" t="s">
        <v>169</v>
      </c>
      <c r="C19" s="4" t="s">
        <v>170</v>
      </c>
      <c r="D19" s="4" t="s">
        <v>171</v>
      </c>
      <c r="E19" s="4" t="s">
        <v>171</v>
      </c>
      <c r="F19" s="4" t="s">
        <v>171</v>
      </c>
      <c r="G19" s="4" t="s">
        <v>172</v>
      </c>
      <c r="H19" s="4" t="s">
        <v>170</v>
      </c>
      <c r="I19" s="4" t="s">
        <v>173</v>
      </c>
      <c r="J19" s="4" t="s">
        <v>170</v>
      </c>
    </row>
    <row r="20" customFormat="false" ht="15" hidden="false" customHeight="false" outlineLevel="0" collapsed="false">
      <c r="A20" s="22" t="s">
        <v>174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B20*(1+$B$15)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175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B21*(1-$B$11-$B$12)-$B$13/$B$9*$B$14</f>
        <v>20253.6184</v>
      </c>
      <c r="H21" s="18" t="n">
        <f aca="false">IF(G$20&lt;&gt;0,G21/G$20,0)</f>
        <v>0.386560735883203</v>
      </c>
      <c r="I21" s="8" t="n">
        <f aca="false">I20*$B$16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176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177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31357.3531</v>
      </c>
      <c r="H23" s="24" t="n">
        <f aca="false">IF(G$20&lt;&gt;0,G23/G$20,0)</f>
        <v>0.598486712363725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178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179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180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181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182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183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184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185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186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187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188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189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190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9135.7731</v>
      </c>
      <c r="H36" s="24" t="n">
        <f aca="false">IF(G$20&lt;&gt;0,G36/G$20,0)</f>
        <v>0.17436544436909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191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192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6969.10643333333</v>
      </c>
      <c r="H38" s="24" t="n">
        <f aca="false">IF(G$20&lt;&gt;0,G38/G$20,0)</f>
        <v>0.133012425637371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193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194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4069.10643333333</v>
      </c>
      <c r="H40" s="24" t="n">
        <f aca="false">IF(G$20&lt;&gt;0,G40/G$20,0)</f>
        <v>0.077663000565687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195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196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197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40749.8548636865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198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45595.4093932874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199</v>
      </c>
    </row>
    <row r="48" customFormat="false" ht="15" hidden="false" customHeight="false" outlineLevel="0" collapsed="false">
      <c r="A48" s="3" t="s">
        <v>200</v>
      </c>
    </row>
    <row r="49" customFormat="false" ht="15" hidden="false" customHeight="false" outlineLevel="0" collapsed="false">
      <c r="A49" s="6" t="s">
        <v>201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202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203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204</v>
      </c>
      <c r="D53" s="2" t="s">
        <v>205</v>
      </c>
      <c r="G53" s="17" t="n">
        <v>5300</v>
      </c>
    </row>
    <row r="54" customFormat="false" ht="15" hidden="false" customHeight="false" outlineLevel="0" collapsed="false">
      <c r="A54" s="6" t="s">
        <v>206</v>
      </c>
      <c r="B54" s="17" t="n">
        <v>-22600</v>
      </c>
      <c r="D54" s="2" t="s">
        <v>207</v>
      </c>
      <c r="G54" s="36" t="n">
        <v>5</v>
      </c>
    </row>
    <row r="55" customFormat="false" ht="15" hidden="false" customHeight="false" outlineLevel="0" collapsed="false">
      <c r="A55" s="6" t="s">
        <v>208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209</v>
      </c>
      <c r="B56" s="17" t="n">
        <v>-6200</v>
      </c>
    </row>
    <row r="57" customFormat="false" ht="15" hidden="false" customHeight="false" outlineLevel="0" collapsed="false">
      <c r="A57" s="6" t="s">
        <v>210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211</v>
      </c>
      <c r="B58" s="17" t="n">
        <v>-13400</v>
      </c>
    </row>
    <row r="59" customFormat="false" ht="15" hidden="false" customHeight="false" outlineLevel="0" collapsed="false">
      <c r="A59" s="6" t="s">
        <v>212</v>
      </c>
      <c r="B59" s="17" t="n">
        <v>-11900</v>
      </c>
    </row>
    <row r="60" customFormat="false" ht="15" hidden="false" customHeight="false" outlineLevel="0" collapsed="false">
      <c r="A60" s="19" t="s">
        <v>213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214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30" hidden="false" customHeight="true" outlineLevel="0" collapsed="false">
      <c r="A4" s="5" t="s">
        <v>115</v>
      </c>
      <c r="B4" s="4" t="s">
        <v>217</v>
      </c>
      <c r="C4" s="4" t="s">
        <v>170</v>
      </c>
      <c r="D4" s="4" t="s">
        <v>218</v>
      </c>
      <c r="E4" s="4" t="s">
        <v>170</v>
      </c>
      <c r="F4" s="4" t="s">
        <v>219</v>
      </c>
      <c r="G4" s="5" t="s">
        <v>220</v>
      </c>
    </row>
    <row r="5" customFormat="false" ht="15" hidden="false" customHeight="false" outlineLevel="0" collapsed="false">
      <c r="A5" s="22" t="s">
        <v>174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221</v>
      </c>
    </row>
    <row r="6" customFormat="false" ht="15" hidden="false" customHeight="false" outlineLevel="0" collapsed="false">
      <c r="A6" s="6" t="s">
        <v>222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223</v>
      </c>
    </row>
    <row r="7" customFormat="false" ht="15" hidden="false" customHeight="false" outlineLevel="0" collapsed="false">
      <c r="A7" s="6" t="s">
        <v>177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224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225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226</v>
      </c>
    </row>
    <row r="10" customFormat="false" ht="15" hidden="false" customHeight="false" outlineLevel="0" collapsed="false">
      <c r="A10" s="22" t="s">
        <v>227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228</v>
      </c>
    </row>
    <row r="11" customFormat="false" ht="15" hidden="false" customHeight="false" outlineLevel="0" collapsed="false">
      <c r="A11" s="6" t="s">
        <v>229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230</v>
      </c>
    </row>
    <row r="12" customFormat="false" ht="15" hidden="false" customHeight="false" outlineLevel="0" collapsed="false">
      <c r="A12" s="6" t="s">
        <v>231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232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233</v>
      </c>
    </row>
    <row r="16" customFormat="false" ht="15" hidden="false" customHeight="false" outlineLevel="0" collapsed="false">
      <c r="A16" s="6" t="s">
        <v>234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235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236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237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238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239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242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243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244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245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246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247</v>
      </c>
      <c r="B10" s="4" t="s">
        <v>195</v>
      </c>
      <c r="C10" s="4" t="s">
        <v>248</v>
      </c>
      <c r="D10" s="4" t="s">
        <v>249</v>
      </c>
      <c r="E10" s="4" t="s">
        <v>250</v>
      </c>
      <c r="F10" s="4" t="s">
        <v>251</v>
      </c>
      <c r="G10" s="4" t="s">
        <v>252</v>
      </c>
      <c r="H10" s="4" t="s">
        <v>253</v>
      </c>
      <c r="I10" s="4" t="s">
        <v>254</v>
      </c>
      <c r="J10" s="4" t="s">
        <v>255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2026-10-13T18:26:36Z</dcterms:created>
  <dc:creator>openpyxl</dc:creator>
  <dc:description/>
  <dc:language>en-US</dc:language>
  <cp:lastModifiedBy/>
  <dcterms:modified xsi:type="dcterms:W3CDTF">2026-10-13T18:26:36Z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