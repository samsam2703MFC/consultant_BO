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  <sheet name="Compte d’exploitation" sheetId="4" state="visible" r:id="rId6"/>
    <sheet name="Application ou bilan" sheetId="5" state="visible" r:id="rId7"/>
    <sheet name="Euros par jou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28" authorId="0">
      <text>
        <r>
          <rPr>
            <sz val="10"/>
            <rFont val="Arial"/>
            <family val="2"/>
          </rPr>
          <t xml:space="preserve">Main-d’œuvre par semaine, montant communiqué le 13 octobre 2026 ; remplace la main-d’œuvre encodée au panel, dans tous les mois (feuille « Mois par mois », colonne L) et dans le point mort.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L5" authorId="0">
      <text>
        <r>
          <rPr>
            <sz val="10"/>
            <rFont val="Arial"/>
            <family val="2"/>
          </rPr>
          <t xml:space="preserve">Main-d’œuvre par semaine (Récap!C28) × jours du mois ÷ 7.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sharedStrings.xml><?xml version="1.0" encoding="utf-8"?>
<sst xmlns="http://schemas.openxmlformats.org/spreadsheetml/2006/main" count="290" uniqueCount="267">
  <si>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</si>
  <si>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</si>
  <si>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</si>
  <si>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</si>
  <si>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</si>
  <si>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</si>
  <si>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</si>
  <si>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</si>
  <si>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</si>
  <si>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</si>
  <si>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</si>
  <si>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</si>
  <si>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</si>
  <si>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</si>
  <si>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</si>
  <si>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</si>
  <si>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</si>
  <si>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</si>
  <si>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</si>
  <si>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</si>
  <si>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</si>
  <si>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</si>
  <si>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</si>
  <si>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</si>
  <si>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</si>
  <si>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</si>
  <si>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</si>
  <si>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</si>
  <si>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</si>
  <si>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</si>
  <si>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</si>
  <si>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</t>
  </si>
  <si>
    <t xml:space="preserve">2 650 € par semaine (case C28) ; encodée au panel : 8 100 € par mois ; seuil réseau 33 %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</si>
  <si>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</si>
  <si>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</si>
  <si>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</si>
  <si>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</t>
  </si>
  <si>
    <t xml:space="preserve">avant charges financières et impôts</t>
  </si>
  <si>
    <t xml:space="preserve">Le point mort (structure de coûts juillet → septembre)</t>
  </si>
  <si>
    <t xml:space="preserve">Valeur</t>
  </si>
  <si>
    <t xml:space="preserve">€ par semaine</t>
  </si>
  <si>
    <t xml:space="preserve">Comment</t>
  </si>
  <si>
    <t xml:space="preserve">Main-d’œuvre par mois (la semaine en C, × 365/12 ÷ 7)</t>
  </si>
  <si>
    <t xml:space="preserve">hypothèse : 2 650 € par semaine (case C28) ; encodée au panel : 8 585 € par mois en juillet → septembre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</si>
  <si>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</si>
  <si>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</si>
  <si>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</si>
  <si>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</si>
  <si>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</si>
  <si>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</si>
  <si>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</si>
  <si>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</si>
  <si>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</si>
  <si>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</si>
  <si>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</si>
  <si>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</si>
  <si>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</si>
  <si>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</si>
  <si>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au CA actuel (par mois)</t>
  </si>
  <si>
    <t xml:space="preserve">avec ces hypothèses</t>
  </si>
  <si>
    <t xml:space="preserve">Résultat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</si>
  <si>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</si>
  <si>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</si>
  <si>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</si>
  <si>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</si>
  <si>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</si>
  <si>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</si>
  <si>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</si>
  <si>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</si>
  <si>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</si>
  <si>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</si>
  <si>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</si>
  <si>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</si>
  <si>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</si>
  <si>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retenue : 2 650 € par semaine (case C28), au prorata des jours de chaque mois. Elle remplace la main-d’œuvre encodée au panel (8 100 € par mois en moyenne, colonne U de « Mois par mois »). Si la rémunération du gérant n’y est pas,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</si>
  <si>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</si>
  <si>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Ouverture en mars ; les ventes de février (du 20 au 28)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</si>
  <si>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</si>
  <si>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</si>
  <si>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</si>
  <si>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</si>
  <si>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</si>
  <si>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</si>
  <si>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</si>
  <si>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</si>
  <si>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</si>
  <si>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</si>
  <si>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</si>
  <si>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</si>
  <si>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retenue (€)</t>
  </si>
  <si>
    <t xml:space="preserve">Main-d’œuvre (% CA)</t>
  </si>
  <si>
    <t xml:space="preserve">Heures planifiées</t>
  </si>
  <si>
    <t xml:space="preserve">Coût horaire retenu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</si>
  <si>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</si>
  <si>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</si>
  <si>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</si>
  <si>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</si>
  <si>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</si>
  <si>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Main-d’œuvre encodée au panel (€)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</si>
  <si>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</si>
  <si>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</si>
  <si>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</si>
  <si>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</si>
  <si>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</si>
  <si>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</si>
  <si>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</si>
  <si>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</si>
  <si>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</si>
  <si>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</si>
  <si>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</si>
  <si>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</si>
  <si>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</si>
  <si>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</si>
  <si>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</si>
  <si>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</si>
  <si>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</si>
  <si>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</si>
  <si>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</si>
  <si>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</si>
  <si>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</si>
  <si>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</si>
  <si>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</si>
  <si>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</si>
  <si>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</si>
  <si>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</si>
  <si>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</si>
  <si>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</si>
  <si>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</si>
  <si>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</si>
  <si>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</si>
  <si>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</si>
  <si>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</si>
  <si>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</si>
  <si>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</si>
  <si>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</si>
  <si>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</si>
  <si>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</si>
  <si>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</si>
  <si>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</si>
  <si>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</si>
  <si>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</si>
  <si>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</si>
  <si>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</si>
  <si>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</si>
  <si>
    <t xml:space="preserve">Le compte d’exploitation comptable, mars → septembre 2026 (à valider)</t>
  </si>
  <si>
    <t xml:space="preserve">Analyse transmise le 13 octobre 2026, à partir de la situation comptable au 30/09/2026 de la fiduciaire (Pardoen), lissée sur 6 mois (ouverture supposée en avril). Recalcul du 13 octobre : le magasin a ouvert en mars, les totaux de la période se divisent par 7 ; loyer, charges locatives, assurance et honoraires, déjà ramenés à leur coût mensuel par l'analyse, restent tels quels. À valider avec la fiduciaire. En bleu : montants de l’analyse ; fond jaune : paramètres ; en noir : calculs.</t>
  </si>
  <si>
    <t xml:space="preserve">Paramètres</t>
  </si>
  <si>
    <t xml:space="preserve">Mois de l’analyse (ouverture supposée en avril)</t>
  </si>
  <si>
    <t xml:space="preserve">la division faite par l’analyse</t>
  </si>
  <si>
    <t xml:space="preserve">Mois d’exploitation réels (ouverture en mars)</t>
  </si>
  <si>
    <t xml:space="preserve">chaque ligne × mois de l’analyse ÷ mois réels, sauf les coûts déjà mensuels</t>
  </si>
  <si>
    <t xml:space="preserve">Hausse de prix moyenne (plan B1)</t>
  </si>
  <si>
    <t xml:space="preserve">baguette et tradition inchangées ; volumes supposés inchangés</t>
  </si>
  <si>
    <t xml:space="preserve">Commandes sur ventes réelles (B2), % des achats</t>
  </si>
  <si>
    <t xml:space="preserve">Sorties tracées (B3), % des achats</t>
  </si>
  <si>
    <t xml:space="preserve">Achats fournitures sur la période</t>
  </si>
  <si>
    <t xml:space="preserve">total de la période, selon l’analyse</t>
  </si>
  <si>
    <t xml:space="preserve">Audit fournitures (B4), % de la ligne</t>
  </si>
  <si>
    <t xml:space="preserve">Hausse de CA du scénario</t>
  </si>
  <si>
    <t xml:space="preserve">les + 15 % visés</t>
  </si>
  <si>
    <t xml:space="preserve">Matière du scénario (% du CA)</t>
  </si>
  <si>
    <t xml:space="preserve">la cible du plan</t>
  </si>
  <si>
    <t xml:space="preserve">Rémunération de Nathan, € par semaine</t>
  </si>
  <si>
    <t xml:space="preserve">absente des comptes</t>
  </si>
  <si>
    <t xml:space="preserve">Remboursements crédits et leasing, € par mois</t>
  </si>
  <si>
    <t xml:space="preserve">≈ 211 k€ sur 10 ans et 38 k€ sur 5 ans, selon l’analyse</t>
  </si>
  <si>
    <t xml:space="preserve">Semaines par mois</t>
  </si>
  <si>
    <t xml:space="preserve">Poste (€ par mois)</t>
  </si>
  <si>
    <t xml:space="preserve">Analyse (÷ 6)</t>
  </si>
  <si>
    <t xml:space="preserve">Recalcul (mois réels)</t>
  </si>
  <si>
    <t xml:space="preserve">% CA</t>
  </si>
  <si>
    <t xml:space="preserve">Plan matière (B1 → B4)</t>
  </si>
  <si>
    <t xml:space="preserve">+ 15 % de CA, matière 40 %</t>
  </si>
  <si>
    <t xml:space="preserve">Chiffre d’affaires</t>
  </si>
  <si>
    <t xml:space="preserve">Achats matière (marchandises + fournitures + boissons)</t>
  </si>
  <si>
    <t xml:space="preserve">Emballages</t>
  </si>
  <si>
    <t xml:space="preserve">Marge brute</t>
  </si>
  <si>
    <t xml:space="preserve">Personnel (sans rémunération de Nathan)</t>
  </si>
  <si>
    <t xml:space="preserve">Loyer + charges locatives + assurance incendie (coût mensuel, inchangé)</t>
  </si>
  <si>
    <t xml:space="preserve">Énergie, eau, location panneaux PV</t>
  </si>
  <si>
    <t xml:space="preserve">Autres charges diverses (probablement les redevances)</t>
  </si>
  <si>
    <t xml:space="preserve">Honoraires (fiduciaire, secrétariat social, Indeed…) (coût mensuel, inchangé)</t>
  </si>
  <si>
    <t xml:space="preserve">Location containers</t>
  </si>
  <si>
    <t xml:space="preserve">Voiture (location, carburant, assurance)</t>
  </si>
  <si>
    <t xml:space="preserve">Entretien, hygiène, extincteurs</t>
  </si>
  <si>
    <t xml:space="preserve">Admin, IT, téléphone, poste</t>
  </si>
  <si>
    <t xml:space="preserve">Publicité</t>
  </si>
  <si>
    <t xml:space="preserve">Petit matériel, entretien machines</t>
  </si>
  <si>
    <t xml:space="preserve">Caisse, terminal, assurances diverses, intérim, taxes</t>
  </si>
  <si>
    <t xml:space="preserve">EBITDA d’exploitation</t>
  </si>
  <si>
    <t xml:space="preserve">Rémunération de Nathan</t>
  </si>
  <si>
    <t xml:space="preserve">EBITDA, Nathan payé</t>
  </si>
  <si>
    <t xml:space="preserve">Remboursements crédits et leasing</t>
  </si>
  <si>
    <t xml:space="preserve">Après Nathan et la banque</t>
  </si>
  <si>
    <t xml:space="preserve">Point mort, Nathan payé (CA par mois)</t>
  </si>
  <si>
    <t xml:space="preserve">Point mort avec les remboursements (CA par mois)</t>
  </si>
  <si>
    <t xml:space="preserve">Point mort : charges fixes (Nathan et remboursements compris) ÷ (1 − achats et emballages en % du CA). « Autres charges diverses » (probablement les redevances) comptées en fixe. Plan matière et scénario partent du recalcul.</t>
  </si>
  <si>
    <t xml:space="preserve">Le rapprochement avec la caisse</t>
  </si>
  <si>
    <t xml:space="preserve">CA comptable de la période (analyse × mois de l’analyse)</t>
  </si>
  <si>
    <t xml:space="preserve">Le CA comptable colle à la caisse de mars à septembre, pas à celle d’avril à septembre : les comptes couvrent sept mois.</t>
  </si>
  <si>
    <t xml:space="preserve">CA de caisse HT, mars → septembre</t>
  </si>
  <si>
    <t xml:space="preserve">Écart comptable − caisse</t>
  </si>
  <si>
    <t xml:space="preserve">CA de caisse HT, avril → septembre (l’hypothèse de l’analyse)</t>
  </si>
  <si>
    <t xml:space="preserve">Écart comptable − caisse d’avril à septembre</t>
  </si>
  <si>
    <t xml:space="preserve">D’où vient la perte de la situation au 30/09</t>
  </si>
  <si>
    <t xml:space="preserve">Analyse</t>
  </si>
  <si>
    <t xml:space="preserve">Recalcul</t>
  </si>
  <si>
    <t xml:space="preserve">Charges courues par mois sans CA</t>
  </si>
  <si>
    <t xml:space="preserve">Pré-ouverture 2025</t>
  </si>
  <si>
    <t xml:space="preserve">Mois sans CA (octobre → février)</t>
  </si>
  <si>
    <t xml:space="preserve">Charges courues sans CA (analyse : octobre → mars ; recalcul : octobre → février)</t>
  </si>
  <si>
    <t xml:space="preserve">Erreur de stock</t>
  </si>
  <si>
    <t xml:space="preserve">Exploitation réelle (analyse : avril → septembre ; recalcul : mars → septembre)</t>
  </si>
  <si>
    <t xml:space="preserve">Amortissements</t>
  </si>
  <si>
    <t xml:space="preserve">Frais financiers</t>
  </si>
  <si>
    <t xml:space="preserve">Somme des lignes</t>
  </si>
  <si>
    <t xml:space="preserve">Perte de la situation au 30/09</t>
  </si>
  <si>
    <t xml:space="preserve">À faire corriger par Pardoen avant de signer la situation et le PV d’AG</t>
  </si>
  <si>
    <t xml:space="preserve">Stock négatif (− 6 173 €) : impossible. Chaque millier d'euros de vrai stock en fin de période, c'est un millier d'euros de résultat en plus.</t>
  </si>
  <si>
    <t xml:space="preserve">« Formation pré et post ouverture » à − 31 000 € en actif : une immobilisation négative n'a pas de sens, probablement une note de crédit mal imputée.</t>
  </si>
  <si>
    <t xml:space="preserve">Mobilier en leasing (60,9 k€) jamais amorti : il manque environ 1 000 € d'amortissement par mois, le résultat réel est donc plus mauvais que celui affiché.</t>
  </si>
  <si>
    <t xml:space="preserve">Rémunération dirigeant à − 2 000 € (solde débiteur) : à expliquer.</t>
  </si>
  <si>
    <t xml:space="preserve">Lignes à justifier une par une : « autres charges diverses » à 9 k€ (si ce sont bien les redevances, à 2,6 % du CA, les reclasser), containers 7,8 k€, secrétariat social 5,8 k€ (probablement Liantis de Nathan dedans), voiture 6,6 k€.</t>
  </si>
  <si>
    <t xml:space="preserve">L’application ou le bilan : mars → septembre 2026, en € par mois</t>
  </si>
  <si>
    <t xml:space="preserve">Application : la caisse et le P&amp;L du panel (feuille « Mois par mois », main-d’œuvre encodée, food cost mesuré par le panel). Bilan : la situation au 30/09 de la fiduciaire, recalculée sur les mois réels (feuille « Compte d’exploitation », colonne Recalcul, à valider). En vert : liens ; en noir : calculs.</t>
  </si>
  <si>
    <t xml:space="preserve">Application</t>
  </si>
  <si>
    <t xml:space="preserve">Bilan</t>
  </si>
  <si>
    <t xml:space="preserve">Écart (bilan − application)</t>
  </si>
  <si>
    <t xml:space="preserve">Ce qui change d’une source à l’autre</t>
  </si>
  <si>
    <t xml:space="preserve">caisse HT, contre CA comptable recalculé</t>
  </si>
  <si>
    <t xml:space="preserve">Matière</t>
  </si>
  <si>
    <t xml:space="preserve">application : coût de recette des ventes (panel) ; bilan : achats + emballages</t>
  </si>
  <si>
    <t xml:space="preserve">Personnel</t>
  </si>
  <si>
    <t xml:space="preserve">heures planifiées × taux du panel, contre salaires ; Nathan absent des deux</t>
  </si>
  <si>
    <t xml:space="preserve">montant saisi au panel, contre factures</t>
  </si>
  <si>
    <t xml:space="preserve">Résultat · EBITDA</t>
  </si>
  <si>
    <t xml:space="preserve">avant Nathan, amortissements, charges financières</t>
  </si>
  <si>
    <t xml:space="preserve">Point mort (CA par mois)</t>
  </si>
  <si>
    <t xml:space="preserve">charges fixes ÷ (1 − matière en % du CA), Nathan non payé</t>
  </si>
  <si>
    <t xml:space="preserve">Clients par mois (application)</t>
  </si>
  <si>
    <t xml:space="preserve">Panier moyen (application)</t>
  </si>
  <si>
    <t xml:space="preserve">Du résultat de l’application à l’EBITDA du bilan</t>
  </si>
  <si>
    <t xml:space="preserve">Résultat de l’application</t>
  </si>
  <si>
    <t xml:space="preserve">Écart de CA</t>
  </si>
  <si>
    <t xml:space="preserve">Écart de matière</t>
  </si>
  <si>
    <t xml:space="preserve">Écart de personnel</t>
  </si>
  <si>
    <t xml:space="preserve">Écart de frais généraux</t>
  </si>
  <si>
    <t xml:space="preserve">EBITDA du bilan (somme des lignes)</t>
  </si>
  <si>
    <t xml:space="preserve">Ce que rapportent quelques euros de plus par jour</t>
  </si>
  <si>
    <t xml:space="preserve">À personnel et frais généraux égaux, un euro vendu en plus ne coûte que sa matière. Paliers en bleu (modifiables) ; liens en vert vers « Récap » et « Compte d’exploitation ».</t>
  </si>
  <si>
    <t xml:space="preserve">Jours par mois</t>
  </si>
  <si>
    <t xml:space="preserve">Taux de marge, bilan</t>
  </si>
  <si>
    <t xml:space="preserve">EBITDA Nathan payé, bilan</t>
  </si>
  <si>
    <t xml:space="preserve">Après remboursements, bilan</t>
  </si>
  <si>
    <t xml:space="preserve">Taux de marge, récap</t>
  </si>
  <si>
    <t xml:space="preserve">Résultat actuel, récap</t>
  </si>
  <si>
    <t xml:space="preserve">€ par jour en plus</t>
  </si>
  <si>
    <t xml:space="preserve">CA en plus par mois</t>
  </si>
  <si>
    <t xml:space="preserve">CA en plus par an</t>
  </si>
  <si>
    <t xml:space="preserve">Clients par jour en plus</t>
  </si>
  <si>
    <t xml:space="preserve">ou panier en plus</t>
  </si>
  <si>
    <t xml:space="preserve">Marge directe par mois (récap)</t>
  </si>
  <si>
    <t xml:space="preserve">Résultat par mois (récap)</t>
  </si>
  <si>
    <t xml:space="preserve">Marge directe par mois (bilan)</t>
  </si>
  <si>
    <t xml:space="preserve">EBITDA Nathan payé (bilan)</t>
  </si>
  <si>
    <t xml:space="preserve">Après remboursements (bilan)</t>
  </si>
  <si>
    <t xml:space="preserve">Ligne 0 : aujourd’hui, moyenne de mars à septembre (le bilan recalculé sur sept mois). Une vente faite avec une remise rapporte moins que la marge directe.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</si>
</sst>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11573.4693877551</v>
      </c>
      <c r="C22" s="18" t="n">
        <f aca="false">IF('Mois par mois'!C13&gt;0,B22/'Mois par mois'!C13,0)</f>
        <v>0.224277413450789</v>
      </c>
      <c r="D22" s="7" t="n">
        <f aca="false">'Mois par mois'!L14</f>
        <v>11609.5238095238</v>
      </c>
      <c r="E22" s="18" t="n">
        <f aca="false">IF('Mois par mois'!C14&gt;0,D22/'Mois par mois'!C14,0)</f>
        <v>0.233064857848839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47407.6553877551</v>
      </c>
      <c r="C24" s="21" t="n">
        <f aca="false">IF('Mois par mois'!C13&gt;0,B24/'Mois par mois'!C13,0)</f>
        <v>0.918693087777236</v>
      </c>
      <c r="D24" s="20" t="n">
        <f aca="false">SUM(D21:D23)</f>
        <v>47067.7979761905</v>
      </c>
      <c r="E24" s="21" t="n">
        <f aca="false">IF('Mois par mois'!C14&gt;0,D24/'Mois par mois'!C14,0)</f>
        <v>0.944900912781595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4195.71032653061</v>
      </c>
      <c r="C25" s="24" t="n">
        <f aca="false">IF('Mois par mois'!C13&gt;0,B25/'Mois par mois'!C13,0)</f>
        <v>0.0813069122227639</v>
      </c>
      <c r="D25" s="23" t="n">
        <f aca="false">'Mois par mois'!C14-D24</f>
        <v>2744.61869047619</v>
      </c>
      <c r="E25" s="24" t="n">
        <f aca="false">IF('Mois par mois'!C14&gt;0,D25/'Mois par mois'!C14,0)</f>
        <v>0.0550990872184048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25" t="s">
        <v>40</v>
      </c>
      <c r="D27" s="4"/>
      <c r="E27" s="4"/>
      <c r="F27" s="5" t="s">
        <v>41</v>
      </c>
    </row>
    <row r="28" customFormat="false" ht="15" hidden="false" customHeight="false" outlineLevel="0" collapsed="false">
      <c r="A28" s="6" t="s">
        <v>42</v>
      </c>
      <c r="B28" s="8" t="n">
        <f aca="false">C28*B13/7</f>
        <v>11514.880952381</v>
      </c>
      <c r="C28" s="14" t="n">
        <v>2650</v>
      </c>
      <c r="F28" s="2" t="s">
        <v>43</v>
      </c>
    </row>
    <row r="29" customFormat="false" ht="15" hidden="false" customHeight="false" outlineLevel="0" collapsed="false">
      <c r="A29" s="6" t="s">
        <v>44</v>
      </c>
      <c r="B29" s="26" t="n">
        <f aca="false">'Mois par mois'!P14</f>
        <v>13042.6866666667</v>
      </c>
      <c r="F29" s="2" t="s">
        <v>45</v>
      </c>
    </row>
    <row r="30" customFormat="false" ht="15" hidden="false" customHeight="false" outlineLevel="0" collapsed="false">
      <c r="A30" s="6" t="s">
        <v>46</v>
      </c>
      <c r="B30" s="14" t="n">
        <v>0</v>
      </c>
      <c r="F30" s="2" t="s">
        <v>47</v>
      </c>
    </row>
    <row r="31" customFormat="false" ht="15" hidden="false" customHeight="false" outlineLevel="0" collapsed="false">
      <c r="A31" s="6" t="s">
        <v>48</v>
      </c>
      <c r="B31" s="27" t="n">
        <v>0.45</v>
      </c>
      <c r="F31" s="2" t="s">
        <v>49</v>
      </c>
    </row>
    <row r="32" customFormat="false" ht="15" hidden="false" customHeight="false" outlineLevel="0" collapsed="false">
      <c r="A32" s="19" t="s">
        <v>50</v>
      </c>
      <c r="B32" s="20" t="n">
        <f aca="false">SUM(B28:B30)</f>
        <v>24557.5676190476</v>
      </c>
      <c r="F32" s="2"/>
    </row>
    <row r="33" customFormat="false" ht="15" hidden="false" customHeight="false" outlineLevel="0" collapsed="false">
      <c r="A33" s="6" t="s">
        <v>51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8" t="s">
        <v>52</v>
      </c>
      <c r="B34" s="29" t="n">
        <f aca="false">IF(B33&gt;0,B32/B33,0)</f>
        <v>44650.1229437229</v>
      </c>
      <c r="F34" s="2" t="s">
        <v>53</v>
      </c>
    </row>
    <row r="35" customFormat="false" ht="15" hidden="false" customHeight="false" outlineLevel="0" collapsed="false">
      <c r="A35" s="6" t="s">
        <v>54</v>
      </c>
      <c r="B35" s="8" t="n">
        <f aca="false">B34/B13</f>
        <v>1467.94924746486</v>
      </c>
      <c r="F35" s="2"/>
    </row>
    <row r="36" customFormat="false" ht="15" hidden="false" customHeight="false" outlineLevel="0" collapsed="false">
      <c r="A36" s="6" t="s">
        <v>55</v>
      </c>
      <c r="B36" s="10" t="n">
        <f aca="false">IF(B9&gt;0,B35/B9,0)</f>
        <v>120.48834034548</v>
      </c>
      <c r="F36" s="2"/>
    </row>
    <row r="37" customFormat="false" ht="15" hidden="false" customHeight="false" outlineLevel="0" collapsed="false">
      <c r="A37" s="6" t="s">
        <v>56</v>
      </c>
      <c r="B37" s="30" t="n">
        <f aca="false">IF(B5&gt;0,1-B34/B5,0)</f>
        <v>0.134743977923088</v>
      </c>
      <c r="F37" s="2" t="s">
        <v>57</v>
      </c>
    </row>
    <row r="38" customFormat="false" ht="15" hidden="false" customHeight="false" outlineLevel="0" collapsed="false">
      <c r="A38" s="6" t="s">
        <v>58</v>
      </c>
      <c r="B38" s="8" t="n">
        <f aca="false">B5*B33-B32</f>
        <v>3824.28352380953</v>
      </c>
      <c r="F38" s="2" t="s">
        <v>59</v>
      </c>
    </row>
    <row r="39" customFormat="false" ht="15" hidden="false" customHeight="false" outlineLevel="0" collapsed="false">
      <c r="A39" s="6" t="s">
        <v>60</v>
      </c>
      <c r="B39" s="8" t="n">
        <f aca="false">B12*B33-B32</f>
        <v>8992.43238095238</v>
      </c>
      <c r="F39" s="2"/>
    </row>
    <row r="40" customFormat="false" ht="15" hidden="false" customHeight="false" outlineLevel="0" collapsed="false">
      <c r="A40" s="6" t="s">
        <v>61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62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63</v>
      </c>
      <c r="B43" s="4" t="s">
        <v>64</v>
      </c>
      <c r="C43" s="4" t="s">
        <v>65</v>
      </c>
      <c r="D43" s="4" t="s">
        <v>66</v>
      </c>
      <c r="E43" s="4" t="s">
        <v>67</v>
      </c>
      <c r="F43" s="5" t="s">
        <v>68</v>
      </c>
    </row>
    <row r="44" customFormat="false" ht="15" hidden="false" customHeight="false" outlineLevel="0" collapsed="false">
      <c r="A44" s="6" t="s">
        <v>69</v>
      </c>
      <c r="B44" s="8" t="n">
        <f aca="false">$B$28+'Mois par mois'!P14</f>
        <v>24557.5676190476</v>
      </c>
      <c r="C44" s="31" t="n">
        <f aca="false">'Mois par mois'!J14</f>
        <v>0.45</v>
      </c>
      <c r="D44" s="32" t="n">
        <f aca="false">IF(C44&lt;1,B44/(1-C44),0)</f>
        <v>44650.1229437229</v>
      </c>
      <c r="E44" s="8" t="n">
        <f aca="false">D44/$B$13</f>
        <v>1467.94924746486</v>
      </c>
      <c r="F44" s="33" t="n">
        <f aca="false">IF($B$5&gt;0,1-D44/$B$5,0)</f>
        <v>0.134743977923088</v>
      </c>
    </row>
    <row r="45" customFormat="false" ht="15" hidden="false" customHeight="false" outlineLevel="0" collapsed="false">
      <c r="A45" s="6" t="s">
        <v>70</v>
      </c>
      <c r="B45" s="8" t="n">
        <f aca="false">$B$28+'Mois par mois'!P16*31</f>
        <v>26592.660952381</v>
      </c>
      <c r="C45" s="31" t="n">
        <f aca="false">'Mois par mois'!J14</f>
        <v>0.45</v>
      </c>
      <c r="D45" s="32" t="n">
        <f aca="false">IF(C45&lt;1,B45/(1-C45),0)</f>
        <v>48350.2926406926</v>
      </c>
      <c r="E45" s="8" t="n">
        <f aca="false">D45/$B$13</f>
        <v>1589.59866215976</v>
      </c>
      <c r="F45" s="33" t="n">
        <f aca="false">IF($B$5&gt;0,1-D45/$B$5,0)</f>
        <v>0.0630399399063326</v>
      </c>
    </row>
    <row r="46" customFormat="false" ht="15" hidden="false" customHeight="false" outlineLevel="0" collapsed="false">
      <c r="A46" s="6" t="s">
        <v>71</v>
      </c>
      <c r="B46" s="8" t="n">
        <f aca="false">B44</f>
        <v>24557.5676190476</v>
      </c>
      <c r="C46" s="34" t="n">
        <v>0.4386</v>
      </c>
      <c r="D46" s="32" t="n">
        <f aca="false">IF(C46&lt;1,B46/(1-C46),0)</f>
        <v>43743.4407179331</v>
      </c>
      <c r="E46" s="8" t="n">
        <f aca="false">D46/$B$13</f>
        <v>1438.14051675396</v>
      </c>
      <c r="F46" s="33" t="n">
        <f aca="false">IF($B$5&gt;0,1-D46/$B$5,0)</f>
        <v>0.152314192835231</v>
      </c>
    </row>
    <row r="47" customFormat="false" ht="15" hidden="false" customHeight="false" outlineLevel="0" collapsed="false">
      <c r="A47" s="6" t="s">
        <v>72</v>
      </c>
      <c r="B47" s="8" t="n">
        <f aca="false">B44</f>
        <v>24557.5676190476</v>
      </c>
      <c r="C47" s="31" t="n">
        <f aca="false">'Mois par mois'!T14</f>
        <v>0.364557067933196</v>
      </c>
      <c r="D47" s="32" t="n">
        <f aca="false">IF(C47&lt;1,B47/(1-C47),0)</f>
        <v>38646.3777937904</v>
      </c>
      <c r="E47" s="8" t="n">
        <f aca="false">D47/$B$13</f>
        <v>1270.5658452753</v>
      </c>
      <c r="F47" s="33" t="n">
        <f aca="false">IF($B$5&gt;0,1-D47/$B$5,0)</f>
        <v>0.251088039339037</v>
      </c>
    </row>
    <row r="49" customFormat="false" ht="15" hidden="false" customHeight="false" outlineLevel="0" collapsed="false">
      <c r="A49" s="3" t="s">
        <v>73</v>
      </c>
    </row>
    <row r="50" customFormat="false" ht="24" hidden="false" customHeight="true" outlineLevel="0" collapsed="false">
      <c r="A50" s="35" t="s">
        <v>74</v>
      </c>
      <c r="B50" s="35"/>
      <c r="C50" s="35"/>
      <c r="D50" s="35"/>
      <c r="E50" s="35"/>
      <c r="F50" s="35"/>
    </row>
    <row r="51" customFormat="false" ht="24" hidden="false" customHeight="true" outlineLevel="0" collapsed="false">
      <c r="A51" s="35" t="s">
        <v>75</v>
      </c>
      <c r="B51" s="35"/>
      <c r="C51" s="35"/>
      <c r="D51" s="35"/>
      <c r="E51" s="35"/>
      <c r="F51" s="35"/>
    </row>
    <row r="52" customFormat="false" ht="24" hidden="false" customHeight="true" outlineLevel="0" collapsed="false">
      <c r="A52" s="35" t="s">
        <v>76</v>
      </c>
      <c r="B52" s="35"/>
      <c r="C52" s="35"/>
      <c r="D52" s="35"/>
      <c r="E52" s="35"/>
      <c r="F52" s="35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1" min="2" style="0" width="13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39.75" hidden="false" customHeight="true" outlineLevel="0" collapsed="false">
      <c r="A4" s="5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  <c r="H4" s="4" t="s">
        <v>86</v>
      </c>
      <c r="I4" s="4" t="s">
        <v>12</v>
      </c>
      <c r="J4" s="4" t="s">
        <v>87</v>
      </c>
      <c r="K4" s="4" t="s">
        <v>88</v>
      </c>
      <c r="L4" s="4" t="s">
        <v>89</v>
      </c>
      <c r="M4" s="4" t="s">
        <v>90</v>
      </c>
      <c r="N4" s="4" t="s">
        <v>91</v>
      </c>
      <c r="O4" s="4" t="s">
        <v>92</v>
      </c>
      <c r="P4" s="4" t="s">
        <v>93</v>
      </c>
      <c r="Q4" s="4" t="s">
        <v>94</v>
      </c>
      <c r="R4" s="4" t="s">
        <v>95</v>
      </c>
      <c r="S4" s="4" t="s">
        <v>96</v>
      </c>
      <c r="T4" s="4" t="s">
        <v>97</v>
      </c>
      <c r="U4" s="4" t="s">
        <v>98</v>
      </c>
    </row>
    <row r="5" customFormat="false" ht="15" hidden="false" customHeight="false" outlineLevel="0" collapsed="false">
      <c r="A5" s="6" t="s">
        <v>99</v>
      </c>
      <c r="B5" s="36" t="n">
        <v>31</v>
      </c>
      <c r="C5" s="17" t="n">
        <v>48767.34</v>
      </c>
      <c r="D5" s="17" t="n">
        <v>62000</v>
      </c>
      <c r="E5" s="30" t="n">
        <f aca="false">IF(D5&gt;0,C5/D5,0)</f>
        <v>0.78657</v>
      </c>
      <c r="F5" s="36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1" t="n">
        <f aca="false">Récap!$B$31</f>
        <v>0.45</v>
      </c>
      <c r="K5" s="8" t="n">
        <f aca="false">C5*J5</f>
        <v>21945.303</v>
      </c>
      <c r="L5" s="7" t="n">
        <f aca="false">Récap!$C$28*31/7</f>
        <v>11735.7142857143</v>
      </c>
      <c r="M5" s="18" t="n">
        <f aca="false">IF(C5&gt;0,L5/C5,0)</f>
        <v>0.240647004444251</v>
      </c>
      <c r="N5" s="37" t="n">
        <v>801.5</v>
      </c>
      <c r="O5" s="12" t="n">
        <f aca="false">IF(N5&gt;0,L5/N5,0)</f>
        <v>14.6421887532306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5726.80271428571</v>
      </c>
      <c r="S5" s="18" t="n">
        <f aca="false">IF(C5&gt;0,R5/C5,0)</f>
        <v>0.117431106849086</v>
      </c>
      <c r="T5" s="34" t="n">
        <v>0.398</v>
      </c>
      <c r="U5" s="17" t="n">
        <v>6334</v>
      </c>
    </row>
    <row r="6" customFormat="false" ht="15" hidden="false" customHeight="false" outlineLevel="0" collapsed="false">
      <c r="A6" s="6" t="s">
        <v>100</v>
      </c>
      <c r="B6" s="36" t="n">
        <v>30</v>
      </c>
      <c r="C6" s="17" t="n">
        <v>55831.57</v>
      </c>
      <c r="D6" s="17" t="n">
        <v>62000</v>
      </c>
      <c r="E6" s="30" t="n">
        <f aca="false">IF(D6&gt;0,C6/D6,0)</f>
        <v>0.900509193548387</v>
      </c>
      <c r="F6" s="36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1" t="n">
        <f aca="false">Récap!$B$31</f>
        <v>0.45</v>
      </c>
      <c r="K6" s="8" t="n">
        <f aca="false">C6*J6</f>
        <v>25124.2065</v>
      </c>
      <c r="L6" s="7" t="n">
        <f aca="false">Récap!$C$28*30/7</f>
        <v>11357.1428571429</v>
      </c>
      <c r="M6" s="18" t="n">
        <f aca="false">IF(C6&gt;0,L6/C6,0)</f>
        <v>0.203417938222817</v>
      </c>
      <c r="N6" s="37" t="n">
        <v>758</v>
      </c>
      <c r="O6" s="12" t="n">
        <f aca="false">IF(N6&gt;0,L6/N6,0)</f>
        <v>14.9830380701093</v>
      </c>
      <c r="P6" s="17" t="n">
        <v>9608.7</v>
      </c>
      <c r="Q6" s="18" t="n">
        <f aca="false">IF(C6&gt;0,P6/C6,0)</f>
        <v>0.172101554729699</v>
      </c>
      <c r="R6" s="8" t="n">
        <f aca="false">C6-K6-L6-P6</f>
        <v>9741.52064285714</v>
      </c>
      <c r="S6" s="18" t="n">
        <f aca="false">IF(C6&gt;0,R6/C6,0)</f>
        <v>0.174480507047485</v>
      </c>
      <c r="T6" s="34" t="n">
        <v>0.391</v>
      </c>
      <c r="U6" s="17" t="n">
        <v>5814.5</v>
      </c>
    </row>
    <row r="7" customFormat="false" ht="15" hidden="false" customHeight="false" outlineLevel="0" collapsed="false">
      <c r="A7" s="6" t="s">
        <v>101</v>
      </c>
      <c r="B7" s="36" t="n">
        <v>31</v>
      </c>
      <c r="C7" s="17" t="n">
        <v>60239.57</v>
      </c>
      <c r="D7" s="17" t="n">
        <v>62000</v>
      </c>
      <c r="E7" s="30" t="n">
        <f aca="false">IF(D7&gt;0,C7/D7,0)</f>
        <v>0.971605967741936</v>
      </c>
      <c r="F7" s="36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1" t="n">
        <f aca="false">Récap!$B$31</f>
        <v>0.45</v>
      </c>
      <c r="K7" s="8" t="n">
        <f aca="false">C7*J7</f>
        <v>27107.8065</v>
      </c>
      <c r="L7" s="7" t="n">
        <f aca="false">Récap!$C$28*31/7</f>
        <v>11735.7142857143</v>
      </c>
      <c r="M7" s="18" t="n">
        <f aca="false">IF(C7&gt;0,L7/C7,0)</f>
        <v>0.194817364827045</v>
      </c>
      <c r="N7" s="37" t="n">
        <v>628</v>
      </c>
      <c r="O7" s="12" t="n">
        <f aca="false">IF(N7&gt;0,L7/N7,0)</f>
        <v>18.6874431301183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1862.32921428571</v>
      </c>
      <c r="S7" s="18" t="n">
        <f aca="false">IF(C7&gt;0,R7/C7,0)</f>
        <v>0.0309153802772117</v>
      </c>
      <c r="T7" s="34" t="n">
        <v>0.372</v>
      </c>
      <c r="U7" s="17" t="n">
        <v>10080.5</v>
      </c>
    </row>
    <row r="8" customFormat="false" ht="15" hidden="false" customHeight="false" outlineLevel="0" collapsed="false">
      <c r="A8" s="6" t="s">
        <v>102</v>
      </c>
      <c r="B8" s="36" t="n">
        <v>30</v>
      </c>
      <c r="C8" s="17" t="n">
        <v>46947.83</v>
      </c>
      <c r="D8" s="17" t="n">
        <v>62000</v>
      </c>
      <c r="E8" s="30" t="n">
        <f aca="false">IF(D8&gt;0,C8/D8,0)</f>
        <v>0.757223064516129</v>
      </c>
      <c r="F8" s="36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1" t="n">
        <f aca="false">Récap!$B$31</f>
        <v>0.45</v>
      </c>
      <c r="K8" s="8" t="n">
        <f aca="false">C8*J8</f>
        <v>21126.5235</v>
      </c>
      <c r="L8" s="7" t="n">
        <f aca="false">Récap!$C$28*30/7</f>
        <v>11357.1428571429</v>
      </c>
      <c r="M8" s="18" t="n">
        <f aca="false">IF(C8&gt;0,L8/C8,0)</f>
        <v>0.241909857327652</v>
      </c>
      <c r="N8" s="37" t="n">
        <v>617.5</v>
      </c>
      <c r="O8" s="12" t="n">
        <f aca="false">IF(N8&gt;0,L8/N8,0)</f>
        <v>18.3921341816079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3805.46364285714</v>
      </c>
      <c r="S8" s="18" t="n">
        <f aca="false">IF(C8&gt;0,R8/C8,0)</f>
        <v>0.0810572851366536</v>
      </c>
      <c r="T8" s="34" t="n">
        <v>0.363</v>
      </c>
      <c r="U8" s="17" t="n">
        <v>8714</v>
      </c>
    </row>
    <row r="9" customFormat="false" ht="15" hidden="false" customHeight="false" outlineLevel="0" collapsed="false">
      <c r="A9" s="6" t="s">
        <v>103</v>
      </c>
      <c r="B9" s="36" t="n">
        <v>30</v>
      </c>
      <c r="C9" s="17" t="n">
        <v>46236.55</v>
      </c>
      <c r="D9" s="17" t="n">
        <v>62000</v>
      </c>
      <c r="E9" s="30" t="n">
        <f aca="false">IF(D9&gt;0,C9/D9,0)</f>
        <v>0.745750806451613</v>
      </c>
      <c r="F9" s="36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1" t="n">
        <f aca="false">Récap!$B$31</f>
        <v>0.45</v>
      </c>
      <c r="K9" s="8" t="n">
        <f aca="false">C9*J9</f>
        <v>20806.4475</v>
      </c>
      <c r="L9" s="7" t="n">
        <f aca="false">Récap!$C$28*31/7</f>
        <v>11735.7142857143</v>
      </c>
      <c r="M9" s="18" t="n">
        <f aca="false">IF(C9&gt;0,L9/C9,0)</f>
        <v>0.253818987050597</v>
      </c>
      <c r="N9" s="37" t="n">
        <v>675.5</v>
      </c>
      <c r="O9" s="12" t="n">
        <f aca="false">IF(N9&gt;0,L9/N9,0)</f>
        <v>17.3733742201544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651.758214285715</v>
      </c>
      <c r="S9" s="18" t="n">
        <f aca="false">IF(C9&gt;0,R9/C9,0)</f>
        <v>0.0140961688163523</v>
      </c>
      <c r="T9" s="34" t="n">
        <v>0.368</v>
      </c>
      <c r="U9" s="17" t="n">
        <v>8110.75</v>
      </c>
    </row>
    <row r="10" customFormat="false" ht="15" hidden="false" customHeight="false" outlineLevel="0" collapsed="false">
      <c r="A10" s="6" t="s">
        <v>104</v>
      </c>
      <c r="B10" s="36" t="n">
        <v>31</v>
      </c>
      <c r="C10" s="17" t="n">
        <v>52350.95</v>
      </c>
      <c r="D10" s="17" t="n">
        <v>61000</v>
      </c>
      <c r="E10" s="30" t="n">
        <f aca="false">IF(D10&gt;0,C10/D10,0)</f>
        <v>0.858212295081967</v>
      </c>
      <c r="F10" s="36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1" t="n">
        <f aca="false">Récap!$B$31</f>
        <v>0.45</v>
      </c>
      <c r="K10" s="8" t="n">
        <f aca="false">C10*J10</f>
        <v>23557.9275</v>
      </c>
      <c r="L10" s="7" t="n">
        <f aca="false">Récap!$C$28*31/7</f>
        <v>11735.7142857143</v>
      </c>
      <c r="M10" s="18" t="n">
        <f aca="false">IF(C10&gt;0,L10/C10,0)</f>
        <v>0.22417385521589</v>
      </c>
      <c r="N10" s="37" t="n">
        <v>792</v>
      </c>
      <c r="O10" s="12" t="n">
        <f aca="false">IF(N10&gt;0,L10/N10,0)</f>
        <v>14.8178210678211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4014.67821428571</v>
      </c>
      <c r="S10" s="18" t="n">
        <f aca="false">IF(C10&gt;0,R10/C10,0)</f>
        <v>0.0766877814879332</v>
      </c>
      <c r="T10" s="34" t="n">
        <v>0.364</v>
      </c>
      <c r="U10" s="17" t="n">
        <v>8167.75</v>
      </c>
    </row>
    <row r="11" customFormat="false" ht="15" hidden="false" customHeight="false" outlineLevel="0" collapsed="false">
      <c r="A11" s="6" t="s">
        <v>105</v>
      </c>
      <c r="B11" s="36" t="n">
        <v>30</v>
      </c>
      <c r="C11" s="17" t="n">
        <v>50849.75</v>
      </c>
      <c r="D11" s="17" t="n">
        <v>61000</v>
      </c>
      <c r="E11" s="30" t="n">
        <f aca="false">IF(D11&gt;0,C11/D11,0)</f>
        <v>0.833602459016393</v>
      </c>
      <c r="F11" s="36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1" t="n">
        <f aca="false">Récap!$B$31</f>
        <v>0.45</v>
      </c>
      <c r="K11" s="8" t="n">
        <f aca="false">C11*J11</f>
        <v>22882.3875</v>
      </c>
      <c r="L11" s="7" t="n">
        <f aca="false">Récap!$C$28*30/7</f>
        <v>11357.1428571429</v>
      </c>
      <c r="M11" s="18" t="n">
        <f aca="false">IF(C11&gt;0,L11/C11,0)</f>
        <v>0.223347073626574</v>
      </c>
      <c r="N11" s="37" t="n">
        <v>782</v>
      </c>
      <c r="O11" s="12" t="n">
        <f aca="false">IF(N11&gt;0,L11/N11,0)</f>
        <v>14.5232005845817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3567.41964285714</v>
      </c>
      <c r="S11" s="18" t="n">
        <f aca="false">IF(C11&gt;0,R11/C11,0)</f>
        <v>0.0701560901057949</v>
      </c>
      <c r="T11" s="34" t="n">
        <v>0.362</v>
      </c>
      <c r="U11" s="17" t="n">
        <v>9477.5</v>
      </c>
    </row>
    <row r="12" customFormat="false" ht="15" hidden="false" customHeight="false" outlineLevel="0" collapsed="false">
      <c r="A12" s="38" t="s">
        <v>106</v>
      </c>
      <c r="B12" s="39" t="n">
        <f aca="false">SUM(B5:B11)</f>
        <v>213</v>
      </c>
      <c r="C12" s="40" t="n">
        <f aca="false">SUM(C5:C11)</f>
        <v>361223.56</v>
      </c>
      <c r="D12" s="40" t="n">
        <f aca="false">SUM(D5:D11)</f>
        <v>432000</v>
      </c>
      <c r="E12" s="41" t="n">
        <f aca="false">IF(D12&gt;0,C12/D12,0)</f>
        <v>0.836165648148148</v>
      </c>
      <c r="F12" s="39" t="n">
        <f aca="false">SUM(F5:F11)</f>
        <v>29649</v>
      </c>
      <c r="G12" s="42" t="n">
        <f aca="false">IF(F12&gt;0,C12/F12,0)</f>
        <v>12.1833302978178</v>
      </c>
      <c r="H12" s="40" t="n">
        <f aca="false">IF(B12&gt;0,C12/B12,0)</f>
        <v>1695.88525821596</v>
      </c>
      <c r="I12" s="39" t="n">
        <f aca="false">IF(B12&gt;0,F12/B12,0)</f>
        <v>139.197183098592</v>
      </c>
      <c r="J12" s="43" t="n">
        <f aca="false">IF(C12&gt;0,K12/C12,0)</f>
        <v>0.45</v>
      </c>
      <c r="K12" s="40" t="n">
        <f aca="false">SUM(K5:K11)</f>
        <v>162550.602</v>
      </c>
      <c r="L12" s="40" t="n">
        <f aca="false">SUM(L5:L11)</f>
        <v>81014.2857142857</v>
      </c>
      <c r="M12" s="43" t="n">
        <f aca="false">IF(C12&gt;0,L12/C12,0)</f>
        <v>0.224277413450789</v>
      </c>
      <c r="N12" s="44" t="n">
        <f aca="false">SUM(N5:N11)</f>
        <v>5054.5</v>
      </c>
      <c r="O12" s="42" t="n">
        <f aca="false">IF(N12&gt;0,L12/N12,0)</f>
        <v>16.0281503045377</v>
      </c>
      <c r="P12" s="40" t="n">
        <f aca="false">SUM(P5:P11)</f>
        <v>88288.7</v>
      </c>
      <c r="Q12" s="43" t="n">
        <f aca="false">IF(C12&gt;0,P12/C12,0)</f>
        <v>0.244415674326448</v>
      </c>
      <c r="R12" s="40" t="n">
        <f aca="false">SUM(R5:R11)</f>
        <v>29369.9722857143</v>
      </c>
      <c r="S12" s="43" t="n">
        <f aca="false">IF(C12&gt;0,R12/C12,0)</f>
        <v>0.0813069122227639</v>
      </c>
      <c r="T12" s="43" t="n">
        <f aca="false">IF(SUM(C5:C11)&gt;0,SUMPRODUCT(C5:C11,T5:T11)/SUM(C5:C11),0)</f>
        <v>0.374197998657673</v>
      </c>
      <c r="U12" s="40" t="n">
        <f aca="false">SUM(U5:U11)</f>
        <v>56699</v>
      </c>
    </row>
    <row r="13" customFormat="false" ht="15" hidden="false" customHeight="false" outlineLevel="0" collapsed="false">
      <c r="A13" s="38" t="s">
        <v>107</v>
      </c>
      <c r="B13" s="44" t="n">
        <f aca="false">AVERAGE(B5:B11)</f>
        <v>30.4285714285714</v>
      </c>
      <c r="C13" s="40" t="n">
        <f aca="false">AVERAGE(C5:C11)</f>
        <v>51603.3657142857</v>
      </c>
      <c r="D13" s="40" t="n">
        <f aca="false">AVERAGE(D5:D11)</f>
        <v>61714.2857142857</v>
      </c>
      <c r="E13" s="41" t="n">
        <f aca="false">IF(D13&gt;0,C13/D13,0)</f>
        <v>0.836165648148148</v>
      </c>
      <c r="F13" s="39" t="n">
        <f aca="false">AVERAGE(F5:F11)</f>
        <v>4235.57142857143</v>
      </c>
      <c r="G13" s="42" t="n">
        <f aca="false">IF(F13&gt;0,C13/F13,0)</f>
        <v>12.1833302978178</v>
      </c>
      <c r="H13" s="40" t="n">
        <f aca="false">IF(B13&gt;0,C13/B13,0)</f>
        <v>1695.88525821596</v>
      </c>
      <c r="I13" s="39" t="n">
        <f aca="false">IF(B13&gt;0,F13/B13,0)</f>
        <v>139.197183098592</v>
      </c>
      <c r="J13" s="43" t="n">
        <f aca="false">IF(C13&gt;0,K13/C13,0)</f>
        <v>0.45</v>
      </c>
      <c r="K13" s="40" t="n">
        <f aca="false">AVERAGE(K5:K11)</f>
        <v>23221.5145714286</v>
      </c>
      <c r="L13" s="40" t="n">
        <f aca="false">AVERAGE(L5:L11)</f>
        <v>11573.4693877551</v>
      </c>
      <c r="M13" s="43" t="n">
        <f aca="false">IF(C13&gt;0,L13/C13,0)</f>
        <v>0.224277413450789</v>
      </c>
      <c r="N13" s="44" t="n">
        <f aca="false">AVERAGE(N5:N11)</f>
        <v>722.071428571429</v>
      </c>
      <c r="O13" s="42" t="n">
        <f aca="false">IF(N13&gt;0,L13/N13,0)</f>
        <v>16.0281503045377</v>
      </c>
      <c r="P13" s="40" t="n">
        <f aca="false">AVERAGE(P5:P11)</f>
        <v>12612.6714285714</v>
      </c>
      <c r="Q13" s="43" t="n">
        <f aca="false">IF(C13&gt;0,P13/C13,0)</f>
        <v>0.244415674326448</v>
      </c>
      <c r="R13" s="40" t="n">
        <f aca="false">AVERAGE(R5:R11)</f>
        <v>4195.71032653061</v>
      </c>
      <c r="S13" s="43" t="n">
        <f aca="false">IF(C13&gt;0,R13/C13,0)</f>
        <v>0.0813069122227639</v>
      </c>
      <c r="T13" s="43" t="n">
        <f aca="false">IF(SUM(C5:C11)&gt;0,SUMPRODUCT(C5:C11,T5:T11)/SUM(C5:C11),0)</f>
        <v>0.374197998657673</v>
      </c>
      <c r="U13" s="40" t="n">
        <f aca="false">AVERAGE(U5:U11)</f>
        <v>8099.85714285714</v>
      </c>
    </row>
    <row r="14" customFormat="false" ht="15" hidden="false" customHeight="false" outlineLevel="0" collapsed="false">
      <c r="A14" s="38" t="s">
        <v>108</v>
      </c>
      <c r="B14" s="44" t="n">
        <f aca="false">AVERAGE(B9:B11)</f>
        <v>30.3333333333333</v>
      </c>
      <c r="C14" s="40" t="n">
        <f aca="false">AVERAGE(C9:C11)</f>
        <v>49812.4166666667</v>
      </c>
      <c r="D14" s="40" t="n">
        <f aca="false">AVERAGE(D9:D11)</f>
        <v>61333.3333333333</v>
      </c>
      <c r="E14" s="41" t="n">
        <f aca="false">IF(D14&gt;0,C14/D14,0)</f>
        <v>0.812158967391304</v>
      </c>
      <c r="F14" s="39" t="n">
        <f aca="false">AVERAGE(F9:F11)</f>
        <v>4085</v>
      </c>
      <c r="G14" s="42" t="n">
        <f aca="false">IF(F14&gt;0,C14/F14,0)</f>
        <v>12.1939820481436</v>
      </c>
      <c r="H14" s="40" t="n">
        <f aca="false">IF(B14&gt;0,C14/B14,0)</f>
        <v>1642.16758241758</v>
      </c>
      <c r="I14" s="39" t="n">
        <f aca="false">IF(B14&gt;0,F14/B14,0)</f>
        <v>134.67032967033</v>
      </c>
      <c r="J14" s="43" t="n">
        <f aca="false">IF(C14&gt;0,K14/C14,0)</f>
        <v>0.45</v>
      </c>
      <c r="K14" s="40" t="n">
        <f aca="false">AVERAGE(K9:K11)</f>
        <v>22415.5875</v>
      </c>
      <c r="L14" s="40" t="n">
        <f aca="false">AVERAGE(L9:L11)</f>
        <v>11609.5238095238</v>
      </c>
      <c r="M14" s="43" t="n">
        <f aca="false">IF(C14&gt;0,L14/C14,0)</f>
        <v>0.233064857848839</v>
      </c>
      <c r="N14" s="44" t="n">
        <f aca="false">AVERAGE(N9:N11)</f>
        <v>749.833333333333</v>
      </c>
      <c r="O14" s="42" t="n">
        <f aca="false">IF(N14&gt;0,L14/N14,0)</f>
        <v>15.4828057028546</v>
      </c>
      <c r="P14" s="40" t="n">
        <f aca="false">AVERAGE(P9:P11)</f>
        <v>13042.6866666667</v>
      </c>
      <c r="Q14" s="43" t="n">
        <f aca="false">IF(C14&gt;0,P14/C14,0)</f>
        <v>0.261836054932756</v>
      </c>
      <c r="R14" s="40" t="n">
        <f aca="false">AVERAGE(R9:R11)</f>
        <v>2744.61869047619</v>
      </c>
      <c r="S14" s="43" t="n">
        <f aca="false">IF(C14&gt;0,R14/C14,0)</f>
        <v>0.0550990872184049</v>
      </c>
      <c r="T14" s="43" t="n">
        <f aca="false">IF(SUM(C9:C11)&gt;0,SUMPRODUCT(C9:C11,T9:T11)/SUM(C9:C11),0)</f>
        <v>0.364557067933196</v>
      </c>
      <c r="U14" s="40" t="n">
        <f aca="false">AVERAGE(U9:U11)</f>
        <v>8585.33333333333</v>
      </c>
    </row>
    <row r="16" customFormat="false" ht="15" hidden="false" customHeight="false" outlineLevel="0" collapsed="false">
      <c r="A16" s="45" t="s">
        <v>109</v>
      </c>
      <c r="B16" s="36" t="n">
        <v>12</v>
      </c>
      <c r="C16" s="17" t="n">
        <v>23401.75</v>
      </c>
      <c r="D16" s="17" t="n">
        <v>23834.15</v>
      </c>
      <c r="E16" s="30" t="n">
        <f aca="false">IF(D16&gt;0,C16/D16,0)</f>
        <v>0.981857964307517</v>
      </c>
      <c r="F16" s="36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15" hidden="false" customHeight="false" outlineLevel="0" collapsed="false">
      <c r="A3" s="6" t="s">
        <v>113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6" t="s">
        <v>114</v>
      </c>
      <c r="B5" s="46" t="s">
        <v>115</v>
      </c>
      <c r="C5" s="46" t="s">
        <v>116</v>
      </c>
      <c r="D5" s="46" t="s">
        <v>117</v>
      </c>
      <c r="E5" s="46" t="s">
        <v>118</v>
      </c>
      <c r="F5" s="46" t="s">
        <v>119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34" t="n">
        <v>0</v>
      </c>
      <c r="D6" s="34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120</v>
      </c>
      <c r="B7" s="6" t="s">
        <v>122</v>
      </c>
      <c r="C7" s="34" t="n">
        <v>0</v>
      </c>
      <c r="D7" s="34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123</v>
      </c>
      <c r="B8" s="6" t="s">
        <v>124</v>
      </c>
      <c r="C8" s="34" t="n">
        <v>0.07</v>
      </c>
      <c r="D8" s="34" t="n">
        <v>0.07</v>
      </c>
      <c r="E8" s="8" t="n">
        <f aca="false">C8*$C$3</f>
        <v>3612.2356</v>
      </c>
      <c r="F8" s="6" t="s">
        <v>125</v>
      </c>
    </row>
    <row r="9" customFormat="false" ht="15" hidden="false" customHeight="false" outlineLevel="0" collapsed="false">
      <c r="A9" s="6" t="s">
        <v>123</v>
      </c>
      <c r="B9" s="6" t="s">
        <v>126</v>
      </c>
      <c r="C9" s="34" t="n">
        <v>0.05</v>
      </c>
      <c r="D9" s="34" t="n">
        <v>0.05</v>
      </c>
      <c r="E9" s="8" t="n">
        <f aca="false">C9*$C$3</f>
        <v>2580.16828571429</v>
      </c>
      <c r="F9" s="6" t="s">
        <v>127</v>
      </c>
    </row>
    <row r="10" customFormat="false" ht="15" hidden="false" customHeight="false" outlineLevel="0" collapsed="false">
      <c r="A10" s="6" t="s">
        <v>123</v>
      </c>
      <c r="B10" s="6" t="s">
        <v>128</v>
      </c>
      <c r="C10" s="34" t="n">
        <v>0.01</v>
      </c>
      <c r="D10" s="34" t="n">
        <v>0.005</v>
      </c>
      <c r="E10" s="8" t="n">
        <f aca="false">C10*$C$3</f>
        <v>516.033657142857</v>
      </c>
      <c r="F10" s="6" t="s">
        <v>129</v>
      </c>
    </row>
    <row r="11" customFormat="false" ht="15" hidden="false" customHeight="false" outlineLevel="0" collapsed="false">
      <c r="A11" s="6" t="s">
        <v>123</v>
      </c>
      <c r="B11" s="6" t="s">
        <v>130</v>
      </c>
      <c r="C11" s="34" t="n">
        <v>0.01</v>
      </c>
      <c r="D11" s="34" t="n">
        <v>0.01</v>
      </c>
      <c r="E11" s="8" t="n">
        <f aca="false">C11*$C$3</f>
        <v>516.033657142857</v>
      </c>
      <c r="F11" s="6" t="s">
        <v>131</v>
      </c>
    </row>
    <row r="12" customFormat="false" ht="15" hidden="false" customHeight="false" outlineLevel="0" collapsed="false">
      <c r="A12" s="6" t="s">
        <v>132</v>
      </c>
      <c r="B12" s="6" t="s">
        <v>133</v>
      </c>
      <c r="C12" s="34" t="n">
        <v>0.02</v>
      </c>
      <c r="D12" s="34" t="n">
        <v>0.02</v>
      </c>
      <c r="E12" s="8" t="n">
        <f aca="false">C12*$C$3</f>
        <v>1032.06731428571</v>
      </c>
      <c r="F12" s="6" t="s">
        <v>125</v>
      </c>
    </row>
    <row r="13" customFormat="false" ht="15" hidden="false" customHeight="false" outlineLevel="0" collapsed="false">
      <c r="A13" s="6" t="s">
        <v>132</v>
      </c>
      <c r="B13" s="6" t="s">
        <v>134</v>
      </c>
      <c r="C13" s="34" t="n">
        <v>0.015</v>
      </c>
      <c r="D13" s="34" t="n">
        <v>0.015</v>
      </c>
      <c r="E13" s="8" t="n">
        <f aca="false">C13*$C$3</f>
        <v>774.050485714286</v>
      </c>
      <c r="F13" s="6" t="s">
        <v>125</v>
      </c>
    </row>
    <row r="14" customFormat="false" ht="15" hidden="false" customHeight="false" outlineLevel="0" collapsed="false">
      <c r="A14" s="6" t="s">
        <v>132</v>
      </c>
      <c r="B14" s="6" t="s">
        <v>135</v>
      </c>
      <c r="C14" s="34" t="n">
        <v>0.015</v>
      </c>
      <c r="D14" s="34" t="n">
        <v>0.015</v>
      </c>
      <c r="E14" s="8" t="n">
        <f aca="false">C14*$C$3</f>
        <v>774.050485714286</v>
      </c>
      <c r="F14" s="6" t="s">
        <v>125</v>
      </c>
    </row>
    <row r="15" customFormat="false" ht="15" hidden="false" customHeight="false" outlineLevel="0" collapsed="false">
      <c r="A15" s="6" t="s">
        <v>136</v>
      </c>
      <c r="B15" s="6" t="s">
        <v>137</v>
      </c>
      <c r="C15" s="34" t="n">
        <v>0.05</v>
      </c>
      <c r="D15" s="34" t="n">
        <v>0.07</v>
      </c>
      <c r="E15" s="8" t="n">
        <f aca="false">C15*$C$3</f>
        <v>2580.16828571429</v>
      </c>
      <c r="F15" s="6" t="s">
        <v>125</v>
      </c>
    </row>
    <row r="16" customFormat="false" ht="15" hidden="false" customHeight="false" outlineLevel="0" collapsed="false">
      <c r="A16" s="6" t="s">
        <v>138</v>
      </c>
      <c r="B16" s="6" t="s">
        <v>139</v>
      </c>
      <c r="C16" s="34" t="n">
        <v>0.015</v>
      </c>
      <c r="D16" s="34" t="n">
        <v>0.015</v>
      </c>
      <c r="E16" s="8" t="n">
        <f aca="false">C16*$C$3</f>
        <v>774.050485714286</v>
      </c>
      <c r="F16" s="6" t="s">
        <v>140</v>
      </c>
    </row>
    <row r="17" customFormat="false" ht="15" hidden="false" customHeight="false" outlineLevel="0" collapsed="false">
      <c r="B17" s="19" t="s">
        <v>141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142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3" min="2" style="0" width="14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6" min="6" style="0" width="9"/>
    <col collapsed="false" customWidth="true" hidden="false" outlineLevel="0" max="7" min="7" style="0" width="16"/>
    <col collapsed="false" customWidth="true" hidden="false" outlineLevel="0" max="8" min="8" style="0" width="9"/>
  </cols>
  <sheetData>
    <row r="1" customFormat="false" ht="16.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15" hidden="false" customHeight="false" outlineLevel="0" collapsed="false">
      <c r="A4" s="3" t="s">
        <v>146</v>
      </c>
    </row>
    <row r="5" customFormat="false" ht="15" hidden="false" customHeight="false" outlineLevel="0" collapsed="false">
      <c r="A5" s="6" t="s">
        <v>147</v>
      </c>
      <c r="B5" s="36" t="n">
        <v>6</v>
      </c>
      <c r="C5" s="2" t="s">
        <v>148</v>
      </c>
    </row>
    <row r="6" customFormat="false" ht="15" hidden="false" customHeight="false" outlineLevel="0" collapsed="false">
      <c r="A6" s="6" t="s">
        <v>149</v>
      </c>
      <c r="B6" s="47" t="n">
        <v>7</v>
      </c>
      <c r="C6" s="2" t="s">
        <v>150</v>
      </c>
    </row>
    <row r="7" customFormat="false" ht="15" hidden="false" customHeight="false" outlineLevel="0" collapsed="false">
      <c r="A7" s="6" t="s">
        <v>151</v>
      </c>
      <c r="B7" s="27" t="n">
        <v>0.05</v>
      </c>
      <c r="C7" s="2" t="s">
        <v>152</v>
      </c>
    </row>
    <row r="8" customFormat="false" ht="15" hidden="false" customHeight="false" outlineLevel="0" collapsed="false">
      <c r="A8" s="6" t="s">
        <v>153</v>
      </c>
      <c r="B8" s="27" t="n">
        <v>0.08</v>
      </c>
      <c r="C8" s="2"/>
    </row>
    <row r="9" customFormat="false" ht="15" hidden="false" customHeight="false" outlineLevel="0" collapsed="false">
      <c r="A9" s="6" t="s">
        <v>154</v>
      </c>
      <c r="B9" s="27" t="n">
        <v>0.04</v>
      </c>
      <c r="C9" s="2"/>
    </row>
    <row r="10" customFormat="false" ht="15" hidden="false" customHeight="false" outlineLevel="0" collapsed="false">
      <c r="A10" s="6" t="s">
        <v>155</v>
      </c>
      <c r="B10" s="17" t="n">
        <v>19500</v>
      </c>
      <c r="C10" s="2" t="s">
        <v>156</v>
      </c>
    </row>
    <row r="11" customFormat="false" ht="15" hidden="false" customHeight="false" outlineLevel="0" collapsed="false">
      <c r="A11" s="6" t="s">
        <v>157</v>
      </c>
      <c r="B11" s="27" t="n">
        <v>0.35</v>
      </c>
      <c r="C11" s="2"/>
    </row>
    <row r="12" customFormat="false" ht="15" hidden="false" customHeight="false" outlineLevel="0" collapsed="false">
      <c r="A12" s="6" t="s">
        <v>158</v>
      </c>
      <c r="B12" s="27" t="n">
        <v>0.15</v>
      </c>
      <c r="C12" s="2" t="s">
        <v>159</v>
      </c>
    </row>
    <row r="13" customFormat="false" ht="15" hidden="false" customHeight="false" outlineLevel="0" collapsed="false">
      <c r="A13" s="6" t="s">
        <v>160</v>
      </c>
      <c r="B13" s="27" t="n">
        <v>0.4</v>
      </c>
      <c r="C13" s="2" t="s">
        <v>161</v>
      </c>
    </row>
    <row r="14" customFormat="false" ht="15" hidden="false" customHeight="false" outlineLevel="0" collapsed="false">
      <c r="A14" s="6" t="s">
        <v>162</v>
      </c>
      <c r="B14" s="14" t="n">
        <v>500</v>
      </c>
      <c r="C14" s="2" t="s">
        <v>163</v>
      </c>
    </row>
    <row r="15" customFormat="false" ht="15" hidden="false" customHeight="false" outlineLevel="0" collapsed="false">
      <c r="A15" s="6" t="s">
        <v>164</v>
      </c>
      <c r="B15" s="14" t="n">
        <v>2900</v>
      </c>
      <c r="C15" s="2" t="s">
        <v>165</v>
      </c>
    </row>
    <row r="16" customFormat="false" ht="15" hidden="false" customHeight="false" outlineLevel="0" collapsed="false">
      <c r="A16" s="6" t="s">
        <v>166</v>
      </c>
      <c r="B16" s="15" t="n">
        <f aca="false">52/12</f>
        <v>4.33333333333333</v>
      </c>
    </row>
    <row r="18" customFormat="false" ht="30" hidden="false" customHeight="true" outlineLevel="0" collapsed="false">
      <c r="A18" s="5" t="s">
        <v>167</v>
      </c>
      <c r="B18" s="4" t="s">
        <v>168</v>
      </c>
      <c r="C18" s="4" t="s">
        <v>169</v>
      </c>
      <c r="D18" s="4" t="s">
        <v>170</v>
      </c>
      <c r="E18" s="4" t="s">
        <v>171</v>
      </c>
      <c r="F18" s="4" t="s">
        <v>170</v>
      </c>
      <c r="G18" s="4" t="s">
        <v>172</v>
      </c>
      <c r="H18" s="4" t="s">
        <v>170</v>
      </c>
    </row>
    <row r="19" customFormat="false" ht="15" hidden="false" customHeight="false" outlineLevel="0" collapsed="false">
      <c r="A19" s="22" t="s">
        <v>173</v>
      </c>
      <c r="B19" s="17" t="n">
        <v>58216</v>
      </c>
      <c r="C19" s="23" t="n">
        <f aca="false">B19*$B$5/$B$6</f>
        <v>49899.4285714286</v>
      </c>
      <c r="D19" s="24" t="n">
        <f aca="false">IF(C$19&lt;&gt;0,C19/C$19,0)</f>
        <v>1</v>
      </c>
      <c r="E19" s="23" t="n">
        <f aca="false">C19*(1+$B$7)</f>
        <v>52394.4</v>
      </c>
      <c r="F19" s="24" t="n">
        <f aca="false">IF(E$19&lt;&gt;0,E19/E$19,0)</f>
        <v>1</v>
      </c>
      <c r="G19" s="23" t="n">
        <f aca="false">C19*(1+$B$12)</f>
        <v>57384.3428571429</v>
      </c>
      <c r="H19" s="24" t="n">
        <f aca="false">IF(G$19&lt;&gt;0,G19/G$19,0)</f>
        <v>1</v>
      </c>
    </row>
    <row r="20" customFormat="false" ht="15" hidden="false" customHeight="false" outlineLevel="0" collapsed="false">
      <c r="A20" s="6" t="s">
        <v>174</v>
      </c>
      <c r="B20" s="17" t="n">
        <v>28144</v>
      </c>
      <c r="C20" s="8" t="n">
        <f aca="false">B20*$B$5/$B$6</f>
        <v>24123.4285714286</v>
      </c>
      <c r="D20" s="18" t="n">
        <f aca="false">IF(C$19&lt;&gt;0,C20/C$19,0)</f>
        <v>0.483440978425175</v>
      </c>
      <c r="E20" s="8" t="n">
        <f aca="false">C20*(1-$B$8-$B$9)-$B$10/$B$6*$B$11</f>
        <v>20253.6171428571</v>
      </c>
      <c r="F20" s="18" t="n">
        <f aca="false">IF(E$19&lt;&gt;0,E20/E$19,0)</f>
        <v>0.386560722956216</v>
      </c>
      <c r="G20" s="8" t="n">
        <f aca="false">G19*$B$13</f>
        <v>22953.7371428571</v>
      </c>
      <c r="H20" s="18" t="n">
        <f aca="false">IF(G$19&lt;&gt;0,G20/G$19,0)</f>
        <v>0.4</v>
      </c>
    </row>
    <row r="21" customFormat="false" ht="15" hidden="false" customHeight="false" outlineLevel="0" collapsed="false">
      <c r="A21" s="6" t="s">
        <v>175</v>
      </c>
      <c r="B21" s="17" t="n">
        <v>914</v>
      </c>
      <c r="C21" s="8" t="n">
        <f aca="false">B21*$B$5/$B$6</f>
        <v>783.428571428571</v>
      </c>
      <c r="D21" s="18" t="n">
        <f aca="false">IF(C$19&lt;&gt;0,C21/C$19,0)</f>
        <v>0.0157001511611928</v>
      </c>
      <c r="E21" s="8" t="n">
        <f aca="false">C21</f>
        <v>783.428571428571</v>
      </c>
      <c r="F21" s="18" t="n">
        <f aca="false">IF(E$19&lt;&gt;0,E21/E$19,0)</f>
        <v>0.0149525249154217</v>
      </c>
      <c r="G21" s="8" t="n">
        <f aca="false">IF(C19&gt;0,C21/C19*G19,0)</f>
        <v>900.942857142857</v>
      </c>
      <c r="H21" s="18" t="n">
        <f aca="false">IF(G$19&lt;&gt;0,G21/G$19,0)</f>
        <v>0.0157001511611928</v>
      </c>
    </row>
    <row r="22" customFormat="false" ht="15" hidden="false" customHeight="false" outlineLevel="0" collapsed="false">
      <c r="A22" s="19" t="s">
        <v>176</v>
      </c>
      <c r="B22" s="20" t="n">
        <f aca="false">B19-B20-B21</f>
        <v>29158</v>
      </c>
      <c r="C22" s="20" t="n">
        <f aca="false">C19-C20-C21</f>
        <v>24992.5714285714</v>
      </c>
      <c r="D22" s="24" t="n">
        <f aca="false">IF(C$19&lt;&gt;0,C22/C$19,0)</f>
        <v>0.500858870413632</v>
      </c>
      <c r="E22" s="20" t="n">
        <f aca="false">E19-E20-E21</f>
        <v>31357.3542857143</v>
      </c>
      <c r="F22" s="24" t="n">
        <f aca="false">IF(E$19&lt;&gt;0,E22/E$19,0)</f>
        <v>0.598486752128363</v>
      </c>
      <c r="G22" s="20" t="n">
        <f aca="false">G19-G20-G21</f>
        <v>33529.6628571429</v>
      </c>
      <c r="H22" s="24" t="n">
        <f aca="false">IF(G$19&lt;&gt;0,G22/G$19,0)</f>
        <v>0.584299848838807</v>
      </c>
    </row>
    <row r="23" customFormat="false" ht="15" hidden="false" customHeight="false" outlineLevel="0" collapsed="false">
      <c r="A23" s="6" t="s">
        <v>177</v>
      </c>
      <c r="B23" s="17" t="n">
        <v>9364</v>
      </c>
      <c r="C23" s="8" t="n">
        <f aca="false">B23*$B$5/$B$6</f>
        <v>8026.28571428572</v>
      </c>
      <c r="D23" s="18" t="n">
        <f aca="false">IF(C$19&lt;&gt;0,C23/C$19,0)</f>
        <v>0.160849251064999</v>
      </c>
      <c r="E23" s="8" t="n">
        <f aca="false">C23</f>
        <v>8026.28571428572</v>
      </c>
      <c r="F23" s="18" t="n">
        <f aca="false">IF(E$19&lt;&gt;0,E23/E$19,0)</f>
        <v>0.153189762919047</v>
      </c>
      <c r="G23" s="8" t="n">
        <f aca="false">C23</f>
        <v>8026.28571428572</v>
      </c>
      <c r="H23" s="18" t="n">
        <f aca="false">IF(G$19&lt;&gt;0,G23/G$19,0)</f>
        <v>0.139868913969565</v>
      </c>
    </row>
    <row r="24" customFormat="false" ht="15" hidden="false" customHeight="false" outlineLevel="0" collapsed="false">
      <c r="A24" s="6" t="s">
        <v>178</v>
      </c>
      <c r="B24" s="17" t="n">
        <v>4862</v>
      </c>
      <c r="C24" s="8" t="n">
        <f aca="false">B24</f>
        <v>4862</v>
      </c>
      <c r="D24" s="18" t="n">
        <f aca="false">IF(C$19&lt;&gt;0,C24/C$19,0)</f>
        <v>0.0974359855251706</v>
      </c>
      <c r="E24" s="8" t="n">
        <f aca="false">C24</f>
        <v>4862</v>
      </c>
      <c r="F24" s="18" t="n">
        <f aca="false">IF(E$19&lt;&gt;0,E24/E$19,0)</f>
        <v>0.0927961766906387</v>
      </c>
      <c r="G24" s="8" t="n">
        <f aca="false">C24</f>
        <v>4862</v>
      </c>
      <c r="H24" s="18" t="n">
        <f aca="false">IF(G$19&lt;&gt;0,G24/G$19,0)</f>
        <v>0.084726943934931</v>
      </c>
    </row>
    <row r="25" customFormat="false" ht="15" hidden="false" customHeight="false" outlineLevel="0" collapsed="false">
      <c r="A25" s="6" t="s">
        <v>179</v>
      </c>
      <c r="B25" s="17" t="n">
        <v>1514</v>
      </c>
      <c r="C25" s="8" t="n">
        <f aca="false">B25*$B$5/$B$6</f>
        <v>1297.71428571429</v>
      </c>
      <c r="D25" s="18" t="n">
        <f aca="false">IF(C$19&lt;&gt;0,C25/C$19,0)</f>
        <v>0.0260065961247767</v>
      </c>
      <c r="E25" s="8" t="n">
        <f aca="false">C25</f>
        <v>1297.71428571429</v>
      </c>
      <c r="F25" s="18" t="n">
        <f aca="false">IF(E$19&lt;&gt;0,E25/E$19,0)</f>
        <v>0.0247681867855016</v>
      </c>
      <c r="G25" s="8" t="n">
        <f aca="false">C25</f>
        <v>1297.71428571429</v>
      </c>
      <c r="H25" s="18" t="n">
        <f aca="false">IF(G$19&lt;&gt;0,G25/G$19,0)</f>
        <v>0.0226144314128493</v>
      </c>
    </row>
    <row r="26" customFormat="false" ht="15" hidden="false" customHeight="false" outlineLevel="0" collapsed="false">
      <c r="A26" s="6" t="s">
        <v>180</v>
      </c>
      <c r="B26" s="17" t="n">
        <v>1510</v>
      </c>
      <c r="C26" s="8" t="n">
        <f aca="false">B26*$B$5/$B$6</f>
        <v>1294.28571428571</v>
      </c>
      <c r="D26" s="18" t="n">
        <f aca="false">IF(C$19&lt;&gt;0,C26/C$19,0)</f>
        <v>0.0259378864916861</v>
      </c>
      <c r="E26" s="8" t="n">
        <f aca="false">C26</f>
        <v>1294.28571428571</v>
      </c>
      <c r="F26" s="18" t="n">
        <f aca="false">IF(E$19&lt;&gt;0,E26/E$19,0)</f>
        <v>0.0247027490397011</v>
      </c>
      <c r="G26" s="8" t="n">
        <f aca="false">C26</f>
        <v>1294.28571428571</v>
      </c>
      <c r="H26" s="18" t="n">
        <f aca="false">IF(G$19&lt;&gt;0,G26/G$19,0)</f>
        <v>0.022554683905814</v>
      </c>
    </row>
    <row r="27" customFormat="false" ht="15" hidden="false" customHeight="false" outlineLevel="0" collapsed="false">
      <c r="A27" s="6" t="s">
        <v>181</v>
      </c>
      <c r="B27" s="17" t="n">
        <v>1493</v>
      </c>
      <c r="C27" s="8" t="n">
        <f aca="false">B27</f>
        <v>1493</v>
      </c>
      <c r="D27" s="18" t="n">
        <f aca="false">IF(C$19&lt;&gt;0,C27/C$19,0)</f>
        <v>0.0299201823095598</v>
      </c>
      <c r="E27" s="8" t="n">
        <f aca="false">C27</f>
        <v>1493</v>
      </c>
      <c r="F27" s="18" t="n">
        <f aca="false">IF(E$19&lt;&gt;0,E27/E$19,0)</f>
        <v>0.0284954117233903</v>
      </c>
      <c r="G27" s="8" t="n">
        <f aca="false">C27</f>
        <v>1493</v>
      </c>
      <c r="H27" s="18" t="n">
        <f aca="false">IF(G$19&lt;&gt;0,G27/G$19,0)</f>
        <v>0.0260175498343998</v>
      </c>
    </row>
    <row r="28" customFormat="false" ht="15" hidden="false" customHeight="false" outlineLevel="0" collapsed="false">
      <c r="A28" s="6" t="s">
        <v>182</v>
      </c>
      <c r="B28" s="17" t="n">
        <v>1295</v>
      </c>
      <c r="C28" s="8" t="n">
        <f aca="false">B28*$B$5/$B$6</f>
        <v>1110</v>
      </c>
      <c r="D28" s="18" t="n">
        <f aca="false">IF(C$19&lt;&gt;0,C28/C$19,0)</f>
        <v>0.0222447437130686</v>
      </c>
      <c r="E28" s="8" t="n">
        <f aca="false">C28</f>
        <v>1110</v>
      </c>
      <c r="F28" s="18" t="n">
        <f aca="false">IF(E$19&lt;&gt;0,E28/E$19,0)</f>
        <v>0.0211854702029224</v>
      </c>
      <c r="G28" s="8" t="n">
        <f aca="false">C28</f>
        <v>1110</v>
      </c>
      <c r="H28" s="18" t="n">
        <f aca="false">IF(G$19&lt;&gt;0,G28/G$19,0)</f>
        <v>0.0193432554026683</v>
      </c>
    </row>
    <row r="29" customFormat="false" ht="15" hidden="false" customHeight="false" outlineLevel="0" collapsed="false">
      <c r="A29" s="6" t="s">
        <v>183</v>
      </c>
      <c r="B29" s="17" t="n">
        <v>1104</v>
      </c>
      <c r="C29" s="8" t="n">
        <f aca="false">B29*$B$5/$B$6</f>
        <v>946.285714285714</v>
      </c>
      <c r="D29" s="18" t="n">
        <f aca="false">IF(C$19&lt;&gt;0,C29/C$19,0)</f>
        <v>0.0189638587329944</v>
      </c>
      <c r="E29" s="8" t="n">
        <f aca="false">C29</f>
        <v>946.285714285714</v>
      </c>
      <c r="F29" s="18" t="n">
        <f aca="false">IF(E$19&lt;&gt;0,E29/E$19,0)</f>
        <v>0.018060817840947</v>
      </c>
      <c r="G29" s="8" t="n">
        <f aca="false">C29</f>
        <v>946.285714285714</v>
      </c>
      <c r="H29" s="18" t="n">
        <f aca="false">IF(G$19&lt;&gt;0,G29/G$19,0)</f>
        <v>0.0164903119417342</v>
      </c>
    </row>
    <row r="30" customFormat="false" ht="15" hidden="false" customHeight="false" outlineLevel="0" collapsed="false">
      <c r="A30" s="6" t="s">
        <v>184</v>
      </c>
      <c r="B30" s="17" t="n">
        <v>1011</v>
      </c>
      <c r="C30" s="8" t="n">
        <f aca="false">B30*$B$5/$B$6</f>
        <v>866.571428571429</v>
      </c>
      <c r="D30" s="18" t="n">
        <f aca="false">IF(C$19&lt;&gt;0,C30/C$19,0)</f>
        <v>0.0173663597636389</v>
      </c>
      <c r="E30" s="8" t="n">
        <f aca="false">C30</f>
        <v>866.571428571429</v>
      </c>
      <c r="F30" s="18" t="n">
        <f aca="false">IF(E$19&lt;&gt;0,E30/E$19,0)</f>
        <v>0.0165393902510846</v>
      </c>
      <c r="G30" s="8" t="n">
        <f aca="false">C30</f>
        <v>866.571428571429</v>
      </c>
      <c r="H30" s="18" t="n">
        <f aca="false">IF(G$19&lt;&gt;0,G30/G$19,0)</f>
        <v>0.0151011824031642</v>
      </c>
    </row>
    <row r="31" customFormat="false" ht="15" hidden="false" customHeight="false" outlineLevel="0" collapsed="false">
      <c r="A31" s="6" t="s">
        <v>185</v>
      </c>
      <c r="B31" s="17" t="n">
        <v>778</v>
      </c>
      <c r="C31" s="8" t="n">
        <f aca="false">B31*$B$5/$B$6</f>
        <v>666.857142857143</v>
      </c>
      <c r="D31" s="18" t="n">
        <f aca="false">IF(C$19&lt;&gt;0,C31/C$19,0)</f>
        <v>0.0133640236361138</v>
      </c>
      <c r="E31" s="8" t="n">
        <f aca="false">C31</f>
        <v>666.857142857143</v>
      </c>
      <c r="F31" s="18" t="n">
        <f aca="false">IF(E$19&lt;&gt;0,E31/E$19,0)</f>
        <v>0.0127276415582036</v>
      </c>
      <c r="G31" s="8" t="n">
        <f aca="false">C31</f>
        <v>666.857142857143</v>
      </c>
      <c r="H31" s="18" t="n">
        <f aca="false">IF(G$19&lt;&gt;0,G31/G$19,0)</f>
        <v>0.0116208901183598</v>
      </c>
    </row>
    <row r="32" customFormat="false" ht="15" hidden="false" customHeight="false" outlineLevel="0" collapsed="false">
      <c r="A32" s="6" t="s">
        <v>186</v>
      </c>
      <c r="B32" s="17" t="n">
        <v>738</v>
      </c>
      <c r="C32" s="8" t="n">
        <f aca="false">B32*$B$5/$B$6</f>
        <v>632.571428571429</v>
      </c>
      <c r="D32" s="18" t="n">
        <f aca="false">IF(C$19&lt;&gt;0,C32/C$19,0)</f>
        <v>0.0126769273052082</v>
      </c>
      <c r="E32" s="8" t="n">
        <f aca="false">C32</f>
        <v>632.571428571429</v>
      </c>
      <c r="F32" s="18" t="n">
        <f aca="false">IF(E$19&lt;&gt;0,E32/E$19,0)</f>
        <v>0.0120732641001983</v>
      </c>
      <c r="G32" s="8" t="n">
        <f aca="false">C32</f>
        <v>632.571428571429</v>
      </c>
      <c r="H32" s="18" t="n">
        <f aca="false">IF(G$19&lt;&gt;0,G32/G$19,0)</f>
        <v>0.0110234150480071</v>
      </c>
    </row>
    <row r="33" customFormat="false" ht="15" hidden="false" customHeight="false" outlineLevel="0" collapsed="false">
      <c r="A33" s="6" t="s">
        <v>187</v>
      </c>
      <c r="B33" s="17" t="n">
        <v>685</v>
      </c>
      <c r="C33" s="8" t="n">
        <f aca="false">B33*$B$5/$B$6</f>
        <v>587.142857142857</v>
      </c>
      <c r="D33" s="18" t="n">
        <f aca="false">IF(C$19&lt;&gt;0,C33/C$19,0)</f>
        <v>0.0117665246667583</v>
      </c>
      <c r="E33" s="8" t="n">
        <f aca="false">C33</f>
        <v>587.142857142857</v>
      </c>
      <c r="F33" s="18" t="n">
        <f aca="false">IF(E$19&lt;&gt;0,E33/E$19,0)</f>
        <v>0.0112062139683412</v>
      </c>
      <c r="G33" s="8" t="n">
        <f aca="false">C33</f>
        <v>587.142857142857</v>
      </c>
      <c r="H33" s="18" t="n">
        <f aca="false">IF(G$19&lt;&gt;0,G33/G$19,0)</f>
        <v>0.0102317605797898</v>
      </c>
    </row>
    <row r="34" customFormat="false" ht="15" hidden="false" customHeight="false" outlineLevel="0" collapsed="false">
      <c r="A34" s="6" t="s">
        <v>188</v>
      </c>
      <c r="B34" s="17" t="n">
        <v>512</v>
      </c>
      <c r="C34" s="8" t="n">
        <f aca="false">B34*$B$5/$B$6</f>
        <v>438.857142857143</v>
      </c>
      <c r="D34" s="18" t="n">
        <f aca="false">IF(C$19&lt;&gt;0,C34/C$19,0)</f>
        <v>0.00879483303559159</v>
      </c>
      <c r="E34" s="8" t="n">
        <f aca="false">C34</f>
        <v>438.857142857143</v>
      </c>
      <c r="F34" s="18" t="n">
        <f aca="false">IF(E$19&lt;&gt;0,E34/E$19,0)</f>
        <v>0.00837603146246818</v>
      </c>
      <c r="G34" s="8" t="n">
        <f aca="false">C34</f>
        <v>438.857142857143</v>
      </c>
      <c r="H34" s="18" t="n">
        <f aca="false">IF(G$19&lt;&gt;0,G34/G$19,0)</f>
        <v>0.00764768090051443</v>
      </c>
    </row>
    <row r="35" customFormat="false" ht="15" hidden="false" customHeight="false" outlineLevel="0" collapsed="false">
      <c r="A35" s="19" t="s">
        <v>189</v>
      </c>
      <c r="B35" s="20" t="n">
        <f aca="false">B22-SUM(B23:B34)</f>
        <v>4292</v>
      </c>
      <c r="C35" s="20" t="n">
        <f aca="false">C22-SUM(C23:C34)</f>
        <v>2771</v>
      </c>
      <c r="D35" s="24" t="n">
        <f aca="false">IF(C$19&lt;&gt;0,C35/C$19,0)</f>
        <v>0.0555316980440658</v>
      </c>
      <c r="E35" s="20" t="n">
        <f aca="false">E22-SUM(E23:E34)</f>
        <v>9135.78285714286</v>
      </c>
      <c r="F35" s="24" t="n">
        <f aca="false">IF(E$19&lt;&gt;0,E35/E$19,0)</f>
        <v>0.174365635585919</v>
      </c>
      <c r="G35" s="20" t="n">
        <f aca="false">G22-SUM(G23:G34)</f>
        <v>11308.0914285714</v>
      </c>
      <c r="H35" s="24" t="n">
        <f aca="false">IF(G$19&lt;&gt;0,G35/G$19,0)</f>
        <v>0.19705882938701</v>
      </c>
    </row>
    <row r="36" customFormat="false" ht="15" hidden="false" customHeight="false" outlineLevel="0" collapsed="false">
      <c r="A36" s="6" t="s">
        <v>190</v>
      </c>
      <c r="B36" s="8" t="n">
        <f aca="false">-$B$14*$B$16</f>
        <v>-2166.66666666667</v>
      </c>
      <c r="C36" s="8" t="n">
        <f aca="false">-$B$14*$B$16</f>
        <v>-2166.66666666667</v>
      </c>
      <c r="D36" s="18" t="n">
        <f aca="false">IF(C$19&lt;&gt;0,C36/C$19,0)</f>
        <v>-0.0434206709113951</v>
      </c>
      <c r="E36" s="8" t="n">
        <f aca="false">-$B$14*$B$16</f>
        <v>-2166.66666666667</v>
      </c>
      <c r="F36" s="18" t="n">
        <f aca="false">IF(E$19&lt;&gt;0,E36/E$19,0)</f>
        <v>-0.0413530199156144</v>
      </c>
      <c r="G36" s="8" t="n">
        <f aca="false">-$B$14*$B$16</f>
        <v>-2166.66666666667</v>
      </c>
      <c r="H36" s="18" t="n">
        <f aca="false">IF(G$19&lt;&gt;0,G36/G$19,0)</f>
        <v>-0.0377571051403436</v>
      </c>
    </row>
    <row r="37" customFormat="false" ht="15" hidden="false" customHeight="false" outlineLevel="0" collapsed="false">
      <c r="A37" s="22" t="s">
        <v>191</v>
      </c>
      <c r="B37" s="23" t="n">
        <f aca="false">B35+B36</f>
        <v>2125.33333333333</v>
      </c>
      <c r="C37" s="23" t="n">
        <f aca="false">C35+C36</f>
        <v>604.333333333334</v>
      </c>
      <c r="D37" s="24" t="n">
        <f aca="false">IF(C$19&lt;&gt;0,C37/C$19,0)</f>
        <v>0.0121110271326707</v>
      </c>
      <c r="E37" s="23" t="n">
        <f aca="false">E35+E36</f>
        <v>6969.11619047619</v>
      </c>
      <c r="F37" s="24" t="n">
        <f aca="false">IF(E$19&lt;&gt;0,E37/E$19,0)</f>
        <v>0.133012615670304</v>
      </c>
      <c r="G37" s="23" t="n">
        <f aca="false">G35+G36</f>
        <v>9141.42476190476</v>
      </c>
      <c r="H37" s="24" t="n">
        <f aca="false">IF(G$19&lt;&gt;0,G37/G$19,0)</f>
        <v>0.159301724246667</v>
      </c>
    </row>
    <row r="38" customFormat="false" ht="15" hidden="false" customHeight="false" outlineLevel="0" collapsed="false">
      <c r="A38" s="6" t="s">
        <v>192</v>
      </c>
      <c r="B38" s="8" t="n">
        <f aca="false">-$B$15</f>
        <v>-2900</v>
      </c>
      <c r="C38" s="8" t="n">
        <f aca="false">-$B$15</f>
        <v>-2900</v>
      </c>
      <c r="D38" s="18" t="n">
        <f aca="false">IF(C$19&lt;&gt;0,C38/C$19,0)</f>
        <v>-0.0581168979890981</v>
      </c>
      <c r="E38" s="8" t="n">
        <f aca="false">-$B$15</f>
        <v>-2900</v>
      </c>
      <c r="F38" s="18" t="n">
        <f aca="false">IF(E$19&lt;&gt;0,E38/E$19,0)</f>
        <v>-0.0553494266562839</v>
      </c>
      <c r="G38" s="8" t="n">
        <f aca="false">-$B$15</f>
        <v>-2900</v>
      </c>
      <c r="H38" s="18" t="n">
        <f aca="false">IF(G$19&lt;&gt;0,G38/G$19,0)</f>
        <v>-0.0505364330339983</v>
      </c>
    </row>
    <row r="39" customFormat="false" ht="15" hidden="false" customHeight="false" outlineLevel="0" collapsed="false">
      <c r="A39" s="19" t="s">
        <v>193</v>
      </c>
      <c r="B39" s="20" t="n">
        <f aca="false">B37+B38</f>
        <v>-774.666666666667</v>
      </c>
      <c r="C39" s="20" t="n">
        <f aca="false">C37+C38</f>
        <v>-2295.66666666667</v>
      </c>
      <c r="D39" s="24" t="n">
        <f aca="false">IF(C$19&lt;&gt;0,C39/C$19,0)</f>
        <v>-0.0460058708564274</v>
      </c>
      <c r="E39" s="20" t="n">
        <f aca="false">E37+E38</f>
        <v>4069.11619047619</v>
      </c>
      <c r="F39" s="24" t="n">
        <f aca="false">IF(E$19&lt;&gt;0,E39/E$19,0)</f>
        <v>0.0776631890140204</v>
      </c>
      <c r="G39" s="20" t="n">
        <f aca="false">G37+G38</f>
        <v>6241.42476190476</v>
      </c>
      <c r="H39" s="24" t="n">
        <f aca="false">IF(G$19&lt;&gt;0,G39/G$19,0)</f>
        <v>0.108765291212669</v>
      </c>
    </row>
    <row r="41" customFormat="false" ht="15" hidden="false" customHeight="false" outlineLevel="0" collapsed="false">
      <c r="A41" s="28" t="s">
        <v>194</v>
      </c>
      <c r="B41" s="32" t="n">
        <f aca="false">IF(B19&gt;0,(SUM(B23:B34)-B36)/(1-(B20+B21)/B19),0)</f>
        <v>53972.6223563573</v>
      </c>
      <c r="C41" s="32" t="n">
        <f aca="false">IF(C19&gt;0,(SUM(C23:C34)-C36)/(1-(C20+C21)/C19),0)</f>
        <v>48692.8345206249</v>
      </c>
      <c r="E41" s="32" t="n">
        <f aca="false">IF(E19&gt;0,(SUM(E23:E34)-E36)/(1-(E20+E21)/E19),0)</f>
        <v>40749.8378343508</v>
      </c>
      <c r="G41" s="32" t="n">
        <f aca="false">IF(G19&gt;0,(SUM(G23:G34)-G36)/(1-(G20+G21)/G19),0)</f>
        <v>41739.2510775168</v>
      </c>
    </row>
    <row r="42" customFormat="false" ht="15" hidden="false" customHeight="false" outlineLevel="0" collapsed="false">
      <c r="A42" s="28" t="s">
        <v>195</v>
      </c>
      <c r="B42" s="32" t="n">
        <f aca="false">IF(B19&gt;0,(SUM(B23:B34)-B36-B38)/(1-(B20+B21)/B19),0)</f>
        <v>59762.6765438873</v>
      </c>
      <c r="C42" s="32" t="n">
        <f aca="false">IF(C19&gt;0,(SUM(C23:C34)-C36-C38)/(1-(C20+C21)/C19),0)</f>
        <v>54482.8887081549</v>
      </c>
      <c r="E42" s="32" t="n">
        <f aca="false">IF(E19&gt;0,(SUM(E23:E34)-E36-E38)/(1-(E20+E21)/E19),0)</f>
        <v>45595.3920420035</v>
      </c>
      <c r="G42" s="32" t="n">
        <f aca="false">IF(G19&gt;0,(SUM(G23:G34)-G36-G38)/(1-(G20+G21)/G19),0)</f>
        <v>46702.4561951687</v>
      </c>
    </row>
    <row r="43" customFormat="false" ht="15" hidden="false" customHeight="false" outlineLevel="0" collapsed="false">
      <c r="A43" s="2" t="s">
        <v>196</v>
      </c>
    </row>
    <row r="45" customFormat="false" ht="15" hidden="false" customHeight="false" outlineLevel="0" collapsed="false">
      <c r="A45" s="3" t="s">
        <v>197</v>
      </c>
    </row>
    <row r="46" customFormat="false" ht="15" hidden="false" customHeight="false" outlineLevel="0" collapsed="false">
      <c r="A46" s="6" t="s">
        <v>198</v>
      </c>
      <c r="B46" s="8" t="n">
        <f aca="false">B19*$B$5</f>
        <v>349296</v>
      </c>
      <c r="D46" s="2" t="s">
        <v>199</v>
      </c>
    </row>
    <row r="47" customFormat="false" ht="15" hidden="false" customHeight="false" outlineLevel="0" collapsed="false">
      <c r="A47" s="6" t="s">
        <v>200</v>
      </c>
      <c r="B47" s="7" t="n">
        <f aca="false">SUM('Mois par mois'!C5:C11)</f>
        <v>361223.56</v>
      </c>
    </row>
    <row r="48" customFormat="false" ht="15" hidden="false" customHeight="false" outlineLevel="0" collapsed="false">
      <c r="A48" s="6" t="s">
        <v>201</v>
      </c>
      <c r="B48" s="8" t="n">
        <f aca="false">B46-B47</f>
        <v>-11927.56</v>
      </c>
      <c r="C48" s="18" t="n">
        <f aca="false">IF(B47&gt;0,B48/B47,0)</f>
        <v>-0.0330198838636107</v>
      </c>
    </row>
    <row r="49" customFormat="false" ht="15" hidden="false" customHeight="false" outlineLevel="0" collapsed="false">
      <c r="A49" s="6" t="s">
        <v>202</v>
      </c>
      <c r="B49" s="7" t="n">
        <f aca="false">SUM('Mois par mois'!C6:C11)</f>
        <v>312456.22</v>
      </c>
    </row>
    <row r="50" customFormat="false" ht="15" hidden="false" customHeight="false" outlineLevel="0" collapsed="false">
      <c r="A50" s="6" t="s">
        <v>203</v>
      </c>
      <c r="B50" s="8" t="n">
        <f aca="false">B46-B49</f>
        <v>36839.78</v>
      </c>
      <c r="C50" s="18" t="n">
        <f aca="false">IF(B49&gt;0,B50/B49,0)</f>
        <v>0.117903813852706</v>
      </c>
    </row>
    <row r="52" customFormat="false" ht="15" hidden="false" customHeight="false" outlineLevel="0" collapsed="false">
      <c r="A52" s="3" t="s">
        <v>204</v>
      </c>
      <c r="B52" s="48" t="s">
        <v>205</v>
      </c>
      <c r="C52" s="48" t="s">
        <v>206</v>
      </c>
      <c r="E52" s="2" t="s">
        <v>207</v>
      </c>
      <c r="G52" s="17" t="n">
        <v>5300</v>
      </c>
    </row>
    <row r="53" customFormat="false" ht="15" hidden="false" customHeight="false" outlineLevel="0" collapsed="false">
      <c r="A53" s="6" t="s">
        <v>208</v>
      </c>
      <c r="B53" s="17" t="n">
        <v>-22600</v>
      </c>
      <c r="C53" s="8" t="n">
        <f aca="false">B53</f>
        <v>-22600</v>
      </c>
      <c r="E53" s="2" t="s">
        <v>209</v>
      </c>
      <c r="G53" s="47" t="n">
        <v>5</v>
      </c>
    </row>
    <row r="54" customFormat="false" ht="15" hidden="false" customHeight="false" outlineLevel="0" collapsed="false">
      <c r="A54" s="6" t="s">
        <v>210</v>
      </c>
      <c r="B54" s="17" t="n">
        <v>-31800</v>
      </c>
      <c r="C54" s="8" t="n">
        <f aca="false">-$G$52*$G$53</f>
        <v>-26500</v>
      </c>
    </row>
    <row r="55" customFormat="false" ht="15" hidden="false" customHeight="false" outlineLevel="0" collapsed="false">
      <c r="A55" s="6" t="s">
        <v>211</v>
      </c>
      <c r="B55" s="17" t="n">
        <v>-6200</v>
      </c>
      <c r="C55" s="8" t="n">
        <f aca="false">B55</f>
        <v>-6200</v>
      </c>
    </row>
    <row r="56" customFormat="false" ht="15" hidden="false" customHeight="false" outlineLevel="0" collapsed="false">
      <c r="A56" s="6" t="s">
        <v>212</v>
      </c>
      <c r="B56" s="17" t="n">
        <v>25800</v>
      </c>
      <c r="C56" s="8" t="n">
        <f aca="false">C35*$B$6</f>
        <v>19397</v>
      </c>
    </row>
    <row r="57" customFormat="false" ht="15" hidden="false" customHeight="false" outlineLevel="0" collapsed="false">
      <c r="A57" s="6" t="s">
        <v>213</v>
      </c>
      <c r="B57" s="17" t="n">
        <v>-13400</v>
      </c>
      <c r="C57" s="8" t="n">
        <f aca="false">B57</f>
        <v>-13400</v>
      </c>
    </row>
    <row r="58" customFormat="false" ht="15" hidden="false" customHeight="false" outlineLevel="0" collapsed="false">
      <c r="A58" s="6" t="s">
        <v>214</v>
      </c>
      <c r="B58" s="17" t="n">
        <v>-11900</v>
      </c>
      <c r="C58" s="8" t="n">
        <f aca="false">B58</f>
        <v>-11900</v>
      </c>
    </row>
    <row r="59" customFormat="false" ht="15" hidden="false" customHeight="false" outlineLevel="0" collapsed="false">
      <c r="A59" s="19" t="s">
        <v>215</v>
      </c>
      <c r="B59" s="20" t="n">
        <f aca="false">SUM(B53:B58)</f>
        <v>-60100</v>
      </c>
      <c r="C59" s="20" t="n">
        <f aca="false">SUM(C53:C58)</f>
        <v>-61203</v>
      </c>
    </row>
    <row r="60" customFormat="false" ht="15" hidden="false" customHeight="false" outlineLevel="0" collapsed="false">
      <c r="A60" s="6" t="s">
        <v>216</v>
      </c>
      <c r="B60" s="17" t="n">
        <v>-59900</v>
      </c>
      <c r="C60" s="8" t="n">
        <f aca="false">B60</f>
        <v>-59900</v>
      </c>
    </row>
    <row r="62" customFormat="false" ht="15" hidden="false" customHeight="false" outlineLevel="0" collapsed="false">
      <c r="A62" s="3" t="s">
        <v>217</v>
      </c>
    </row>
    <row r="63" customFormat="false" ht="24" hidden="false" customHeight="true" outlineLevel="0" collapsed="false">
      <c r="A63" s="35" t="s">
        <v>218</v>
      </c>
      <c r="B63" s="35"/>
      <c r="C63" s="35"/>
      <c r="D63" s="35"/>
      <c r="E63" s="35"/>
      <c r="F63" s="35"/>
      <c r="G63" s="35"/>
      <c r="H63" s="35"/>
    </row>
    <row r="64" customFormat="false" ht="24" hidden="false" customHeight="true" outlineLevel="0" collapsed="false">
      <c r="A64" s="35" t="s">
        <v>219</v>
      </c>
      <c r="B64" s="35"/>
      <c r="C64" s="35"/>
      <c r="D64" s="35"/>
      <c r="E64" s="35"/>
      <c r="F64" s="35"/>
      <c r="G64" s="35"/>
      <c r="H64" s="35"/>
    </row>
    <row r="65" customFormat="false" ht="24" hidden="false" customHeight="true" outlineLevel="0" collapsed="false">
      <c r="A65" s="35" t="s">
        <v>220</v>
      </c>
      <c r="B65" s="35"/>
      <c r="C65" s="35"/>
      <c r="D65" s="35"/>
      <c r="E65" s="35"/>
      <c r="F65" s="35"/>
      <c r="G65" s="35"/>
      <c r="H65" s="35"/>
    </row>
    <row r="66" customFormat="false" ht="24" hidden="false" customHeight="true" outlineLevel="0" collapsed="false">
      <c r="A66" s="35" t="s">
        <v>221</v>
      </c>
      <c r="B66" s="35"/>
      <c r="C66" s="35"/>
      <c r="D66" s="35"/>
      <c r="E66" s="35"/>
      <c r="F66" s="35"/>
      <c r="G66" s="35"/>
      <c r="H66" s="35"/>
    </row>
    <row r="67" customFormat="false" ht="24" hidden="false" customHeight="true" outlineLevel="0" collapsed="false">
      <c r="A67" s="35" t="s">
        <v>222</v>
      </c>
      <c r="B67" s="35"/>
      <c r="C67" s="35"/>
      <c r="D67" s="35"/>
      <c r="E67" s="35"/>
      <c r="F67" s="35"/>
      <c r="G67" s="35"/>
      <c r="H67" s="35"/>
    </row>
  </sheetData>
  <mergeCells count="5">
    <mergeCell ref="A63:H63"/>
    <mergeCell ref="A64:H64"/>
    <mergeCell ref="A65:H65"/>
    <mergeCell ref="A66:H66"/>
    <mergeCell ref="A67:H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223</v>
      </c>
    </row>
    <row r="2" customFormat="false" ht="15" hidden="false" customHeight="false" outlineLevel="0" collapsed="false">
      <c r="A2" s="2" t="s">
        <v>224</v>
      </c>
    </row>
    <row r="4" customFormat="false" ht="30" hidden="false" customHeight="true" outlineLevel="0" collapsed="false">
      <c r="A4" s="5" t="s">
        <v>115</v>
      </c>
      <c r="B4" s="4" t="s">
        <v>225</v>
      </c>
      <c r="C4" s="4" t="s">
        <v>170</v>
      </c>
      <c r="D4" s="4" t="s">
        <v>226</v>
      </c>
      <c r="E4" s="4" t="s">
        <v>170</v>
      </c>
      <c r="F4" s="4" t="s">
        <v>227</v>
      </c>
      <c r="G4" s="5" t="s">
        <v>228</v>
      </c>
    </row>
    <row r="5" customFormat="false" ht="15" hidden="false" customHeight="false" outlineLevel="0" collapsed="false">
      <c r="A5" s="22" t="s">
        <v>173</v>
      </c>
      <c r="B5" s="7" t="n">
        <f aca="false">AVERAGE('Mois par mois'!C5:C11)</f>
        <v>51603.3657142857</v>
      </c>
      <c r="D5" s="7" t="n">
        <f aca="false">'Compte d’exploitation'!C19</f>
        <v>49899.4285714286</v>
      </c>
      <c r="F5" s="23" t="n">
        <f aca="false">D5-B5</f>
        <v>-1703.93714285714</v>
      </c>
      <c r="G5" s="2" t="s">
        <v>229</v>
      </c>
    </row>
    <row r="6" customFormat="false" ht="15" hidden="false" customHeight="false" outlineLevel="0" collapsed="false">
      <c r="A6" s="6" t="s">
        <v>230</v>
      </c>
      <c r="B6" s="7" t="n">
        <f aca="false">SUMPRODUCT('Mois par mois'!C5:C11,'Mois par mois'!T5:T11)/7</f>
        <v>19309.8761742857</v>
      </c>
      <c r="C6" s="18" t="n">
        <f aca="false">IF(B$5&gt;0,B6/B$5,0)</f>
        <v>0.374197998657673</v>
      </c>
      <c r="D6" s="7" t="n">
        <f aca="false">'Compte d’exploitation'!C20+'Compte d’exploitation'!C21</f>
        <v>24906.8571428571</v>
      </c>
      <c r="E6" s="18" t="n">
        <f aca="false">IF(D$5&gt;0,D6/D$5,0)</f>
        <v>0.499141129586368</v>
      </c>
      <c r="F6" s="8" t="n">
        <f aca="false">D6-B6</f>
        <v>5596.98096857143</v>
      </c>
      <c r="G6" s="2" t="s">
        <v>231</v>
      </c>
    </row>
    <row r="7" customFormat="false" ht="15" hidden="false" customHeight="false" outlineLevel="0" collapsed="false">
      <c r="A7" s="6" t="s">
        <v>176</v>
      </c>
      <c r="B7" s="8" t="n">
        <f aca="false">B5-B6</f>
        <v>32293.48954</v>
      </c>
      <c r="C7" s="18" t="n">
        <f aca="false">IF(B$5&gt;0,B7/B$5,0)</f>
        <v>0.625802001342327</v>
      </c>
      <c r="D7" s="8" t="n">
        <f aca="false">D5-D6</f>
        <v>24992.5714285714</v>
      </c>
      <c r="E7" s="18" t="n">
        <f aca="false">IF(D$5&gt;0,D7/D$5,0)</f>
        <v>0.500858870413632</v>
      </c>
      <c r="F7" s="8" t="n">
        <f aca="false">D7-B7</f>
        <v>-7300.91811142857</v>
      </c>
      <c r="G7" s="2"/>
    </row>
    <row r="8" customFormat="false" ht="15" hidden="false" customHeight="false" outlineLevel="0" collapsed="false">
      <c r="A8" s="6" t="s">
        <v>232</v>
      </c>
      <c r="B8" s="7" t="n">
        <f aca="false">AVERAGE('Mois par mois'!U5:U11)</f>
        <v>8099.85714285714</v>
      </c>
      <c r="C8" s="18" t="n">
        <f aca="false">IF(B$5&gt;0,B8/B$5,0)</f>
        <v>0.156963737359767</v>
      </c>
      <c r="D8" s="7" t="n">
        <f aca="false">'Compte d’exploitation'!C23</f>
        <v>8026.28571428572</v>
      </c>
      <c r="E8" s="18" t="n">
        <f aca="false">IF(D$5&gt;0,D8/D$5,0)</f>
        <v>0.160849251064999</v>
      </c>
      <c r="F8" s="8" t="n">
        <f aca="false">D8-B8</f>
        <v>-73.5714285714284</v>
      </c>
      <c r="G8" s="2" t="s">
        <v>233</v>
      </c>
    </row>
    <row r="9" customFormat="false" ht="15" hidden="false" customHeight="false" outlineLevel="0" collapsed="false">
      <c r="A9" s="6" t="s">
        <v>138</v>
      </c>
      <c r="B9" s="7" t="n">
        <f aca="false">AVERAGE('Mois par mois'!P5:P11)</f>
        <v>12612.6714285714</v>
      </c>
      <c r="C9" s="18" t="n">
        <f aca="false">IF(B$5&gt;0,B9/B$5,0)</f>
        <v>0.244415674326448</v>
      </c>
      <c r="D9" s="7" t="n">
        <f aca="false">SUM('Compte d’exploitation'!C24:C34)</f>
        <v>14195.2857142857</v>
      </c>
      <c r="E9" s="18" t="n">
        <f aca="false">IF(D$5&gt;0,D9/D$5,0)</f>
        <v>0.284477921304567</v>
      </c>
      <c r="F9" s="8" t="n">
        <f aca="false">D9-B9</f>
        <v>1582.61428571429</v>
      </c>
      <c r="G9" s="2" t="s">
        <v>234</v>
      </c>
    </row>
    <row r="10" customFormat="false" ht="15" hidden="false" customHeight="false" outlineLevel="0" collapsed="false">
      <c r="A10" s="22" t="s">
        <v>235</v>
      </c>
      <c r="B10" s="8" t="n">
        <f aca="false">B7-B8-B9</f>
        <v>11580.9609685714</v>
      </c>
      <c r="C10" s="18" t="n">
        <f aca="false">IF(B$5&gt;0,B10/B$5,0)</f>
        <v>0.224422589656112</v>
      </c>
      <c r="D10" s="8" t="n">
        <f aca="false">D7-D8-D9</f>
        <v>2771</v>
      </c>
      <c r="E10" s="18" t="n">
        <f aca="false">IF(D$5&gt;0,D10/D$5,0)</f>
        <v>0.0555316980440658</v>
      </c>
      <c r="F10" s="23" t="n">
        <f aca="false">D10-B10</f>
        <v>-8809.96096857143</v>
      </c>
      <c r="G10" s="2" t="s">
        <v>236</v>
      </c>
    </row>
    <row r="11" customFormat="false" ht="15" hidden="false" customHeight="false" outlineLevel="0" collapsed="false">
      <c r="A11" s="6" t="s">
        <v>237</v>
      </c>
      <c r="B11" s="8" t="n">
        <f aca="false">IF(B5&gt;0,(B8+B9)/(1-B6/B5),0)</f>
        <v>33097.5748351728</v>
      </c>
      <c r="D11" s="8" t="n">
        <f aca="false">IF(D5&gt;0,(D8+D9)/(1-D6/D5),0)</f>
        <v>44366.9319667232</v>
      </c>
      <c r="F11" s="8" t="n">
        <f aca="false">D11-B11</f>
        <v>11269.3571315504</v>
      </c>
      <c r="G11" s="2" t="s">
        <v>238</v>
      </c>
    </row>
    <row r="12" customFormat="false" ht="15" hidden="false" customHeight="false" outlineLevel="0" collapsed="false">
      <c r="A12" s="6" t="s">
        <v>239</v>
      </c>
      <c r="B12" s="9" t="n">
        <f aca="false">AVERAGE('Mois par mois'!F5:F11)</f>
        <v>4235.57142857143</v>
      </c>
    </row>
    <row r="13" customFormat="false" ht="15" hidden="false" customHeight="false" outlineLevel="0" collapsed="false">
      <c r="A13" s="6" t="s">
        <v>240</v>
      </c>
      <c r="B13" s="12" t="n">
        <f aca="false">IF(B12&gt;0,B5/B12,0)</f>
        <v>12.1833302978178</v>
      </c>
    </row>
    <row r="15" customFormat="false" ht="15" hidden="false" customHeight="false" outlineLevel="0" collapsed="false">
      <c r="A15" s="3" t="s">
        <v>241</v>
      </c>
    </row>
    <row r="16" customFormat="false" ht="15" hidden="false" customHeight="false" outlineLevel="0" collapsed="false">
      <c r="A16" s="6" t="s">
        <v>242</v>
      </c>
      <c r="B16" s="8" t="n">
        <f aca="false">B10</f>
        <v>11580.9609685714</v>
      </c>
    </row>
    <row r="17" customFormat="false" ht="15" hidden="false" customHeight="false" outlineLevel="0" collapsed="false">
      <c r="A17" s="6" t="s">
        <v>243</v>
      </c>
      <c r="B17" s="8" t="n">
        <f aca="false">D5-B5</f>
        <v>-1703.93714285714</v>
      </c>
    </row>
    <row r="18" customFormat="false" ht="15" hidden="false" customHeight="false" outlineLevel="0" collapsed="false">
      <c r="A18" s="6" t="s">
        <v>244</v>
      </c>
      <c r="B18" s="8" t="n">
        <f aca="false">-(D6-B6)</f>
        <v>-5596.98096857143</v>
      </c>
    </row>
    <row r="19" customFormat="false" ht="15" hidden="false" customHeight="false" outlineLevel="0" collapsed="false">
      <c r="A19" s="6" t="s">
        <v>245</v>
      </c>
      <c r="B19" s="8" t="n">
        <f aca="false">-(D8-B8)</f>
        <v>73.5714285714284</v>
      </c>
    </row>
    <row r="20" customFormat="false" ht="15" hidden="false" customHeight="false" outlineLevel="0" collapsed="false">
      <c r="A20" s="6" t="s">
        <v>246</v>
      </c>
      <c r="B20" s="8" t="n">
        <f aca="false">-(D9-B9)</f>
        <v>-1582.61428571429</v>
      </c>
    </row>
    <row r="21" customFormat="false" ht="15" hidden="false" customHeight="false" outlineLevel="0" collapsed="false">
      <c r="A21" s="19" t="s">
        <v>247</v>
      </c>
      <c r="B21" s="20" t="n">
        <f aca="false">SUM(B16:B20)</f>
        <v>2771</v>
      </c>
      <c r="C21" s="2" t="str">
        <f aca="false">IF(ABS(B21-D10)&lt;1,"= bilan","écart")</f>
        <v>= bilan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9" min="6" style="0" width="15"/>
    <col collapsed="false" customWidth="true" hidden="false" outlineLevel="0" max="10" min="10" style="0" width="16"/>
  </cols>
  <sheetData>
    <row r="1" customFormat="false" ht="16.15" hidden="false" customHeight="false" outlineLevel="0" collapsed="false">
      <c r="A1" s="1" t="s">
        <v>248</v>
      </c>
    </row>
    <row r="2" customFormat="false" ht="15" hidden="false" customHeight="false" outlineLevel="0" collapsed="false">
      <c r="A2" s="2" t="s">
        <v>249</v>
      </c>
    </row>
    <row r="4" customFormat="false" ht="15" hidden="false" customHeight="false" outlineLevel="0" collapsed="false">
      <c r="A4" s="6" t="s">
        <v>250</v>
      </c>
      <c r="B4" s="49" t="n">
        <f aca="false">Récap!B13</f>
        <v>30.4166666666667</v>
      </c>
      <c r="D4" s="6" t="s">
        <v>251</v>
      </c>
      <c r="F4" s="31" t="n">
        <f aca="false">1-('Compte d’exploitation'!C20+'Compte d’exploitation'!C21)/'Compte d’exploitation'!C19</f>
        <v>0.500858870413632</v>
      </c>
    </row>
    <row r="5" customFormat="false" ht="15" hidden="false" customHeight="false" outlineLevel="0" collapsed="false">
      <c r="A5" s="6" t="s">
        <v>13</v>
      </c>
      <c r="B5" s="11" t="n">
        <f aca="false">Récap!B9</f>
        <v>12.1833302978178</v>
      </c>
      <c r="D5" s="6" t="s">
        <v>252</v>
      </c>
      <c r="F5" s="7" t="n">
        <f aca="false">'Compte d’exploitation'!C37</f>
        <v>604.333333333334</v>
      </c>
    </row>
    <row r="6" customFormat="false" ht="15" hidden="false" customHeight="false" outlineLevel="0" collapsed="false">
      <c r="A6" s="6" t="s">
        <v>12</v>
      </c>
      <c r="B6" s="9" t="n">
        <f aca="false">Récap!B8</f>
        <v>139.197183098592</v>
      </c>
      <c r="D6" s="6" t="s">
        <v>253</v>
      </c>
      <c r="F6" s="7" t="n">
        <f aca="false">'Compte d’exploitation'!C39</f>
        <v>-2295.66666666667</v>
      </c>
    </row>
    <row r="7" customFormat="false" ht="15" hidden="false" customHeight="false" outlineLevel="0" collapsed="false">
      <c r="A7" s="6" t="s">
        <v>254</v>
      </c>
      <c r="B7" s="31" t="n">
        <f aca="false">1-Récap!B31</f>
        <v>0.55</v>
      </c>
    </row>
    <row r="8" customFormat="false" ht="15" hidden="false" customHeight="false" outlineLevel="0" collapsed="false">
      <c r="A8" s="6" t="s">
        <v>255</v>
      </c>
      <c r="B8" s="7" t="n">
        <f aca="false">Récap!B25</f>
        <v>4195.71032653061</v>
      </c>
    </row>
    <row r="10" customFormat="false" ht="39.75" hidden="false" customHeight="true" outlineLevel="0" collapsed="false">
      <c r="A10" s="4" t="s">
        <v>256</v>
      </c>
      <c r="B10" s="4" t="s">
        <v>257</v>
      </c>
      <c r="C10" s="4" t="s">
        <v>258</v>
      </c>
      <c r="D10" s="4" t="s">
        <v>259</v>
      </c>
      <c r="E10" s="4" t="s">
        <v>260</v>
      </c>
      <c r="F10" s="4" t="s">
        <v>261</v>
      </c>
      <c r="G10" s="4" t="s">
        <v>262</v>
      </c>
      <c r="H10" s="4" t="s">
        <v>263</v>
      </c>
      <c r="I10" s="4" t="s">
        <v>264</v>
      </c>
      <c r="J10" s="4" t="s">
        <v>265</v>
      </c>
    </row>
    <row r="11" customFormat="false" ht="15" hidden="false" customHeight="false" outlineLevel="0" collapsed="false">
      <c r="A11" s="17" t="n">
        <v>0</v>
      </c>
      <c r="B11" s="8" t="n">
        <f aca="false">A11*$B$4</f>
        <v>0</v>
      </c>
      <c r="C11" s="8" t="n">
        <f aca="false">A11*365</f>
        <v>0</v>
      </c>
      <c r="D11" s="15" t="n">
        <f aca="false">IF($B$5&gt;0,A11/$B$5,0)</f>
        <v>0</v>
      </c>
      <c r="E11" s="12" t="n">
        <f aca="false">IF($B$6&gt;0,A11/$B$6,0)</f>
        <v>0</v>
      </c>
      <c r="F11" s="8" t="n">
        <f aca="false">B11*$B$7</f>
        <v>0</v>
      </c>
      <c r="G11" s="23" t="n">
        <f aca="false">$B$8+F11</f>
        <v>4195.71032653061</v>
      </c>
      <c r="H11" s="8" t="n">
        <f aca="false">B11*$F$4</f>
        <v>0</v>
      </c>
      <c r="I11" s="23" t="n">
        <f aca="false">$F$5+H11</f>
        <v>604.333333333334</v>
      </c>
      <c r="J11" s="23" t="n">
        <f aca="false">$F$6+H11</f>
        <v>-2295.66666666667</v>
      </c>
    </row>
    <row r="12" customFormat="false" ht="15" hidden="false" customHeight="false" outlineLevel="0" collapsed="false">
      <c r="A12" s="17" t="n">
        <v>50</v>
      </c>
      <c r="B12" s="8" t="n">
        <f aca="false">A12*$B$4</f>
        <v>1520.83333333333</v>
      </c>
      <c r="C12" s="8" t="n">
        <f aca="false">A12*365</f>
        <v>18250</v>
      </c>
      <c r="D12" s="15" t="n">
        <f aca="false">IF($B$5&gt;0,A12/$B$5,0)</f>
        <v>4.10396819077914</v>
      </c>
      <c r="E12" s="12" t="n">
        <f aca="false">IF($B$6&gt;0,A12/$B$6,0)</f>
        <v>0.359202671253668</v>
      </c>
      <c r="F12" s="8" t="n">
        <f aca="false">B12*$B$7</f>
        <v>836.458333333334</v>
      </c>
      <c r="G12" s="23" t="n">
        <f aca="false">$B$8+F12</f>
        <v>5032.16865986395</v>
      </c>
      <c r="H12" s="8" t="n">
        <f aca="false">B12*$F$4</f>
        <v>761.722865420732</v>
      </c>
      <c r="I12" s="23" t="n">
        <f aca="false">$F$5+H12</f>
        <v>1366.05619875407</v>
      </c>
      <c r="J12" s="23" t="n">
        <f aca="false">$F$6+H12</f>
        <v>-1533.94380124593</v>
      </c>
    </row>
    <row r="13" customFormat="false" ht="15" hidden="false" customHeight="false" outlineLevel="0" collapsed="false">
      <c r="A13" s="17" t="n">
        <v>100</v>
      </c>
      <c r="B13" s="8" t="n">
        <f aca="false">A13*$B$4</f>
        <v>3041.66666666667</v>
      </c>
      <c r="C13" s="8" t="n">
        <f aca="false">A13*365</f>
        <v>36500</v>
      </c>
      <c r="D13" s="15" t="n">
        <f aca="false">IF($B$5&gt;0,A13/$B$5,0)</f>
        <v>8.20793638155828</v>
      </c>
      <c r="E13" s="12" t="n">
        <f aca="false">IF($B$6&gt;0,A13/$B$6,0)</f>
        <v>0.718405342507336</v>
      </c>
      <c r="F13" s="8" t="n">
        <f aca="false">B13*$B$7</f>
        <v>1672.91666666667</v>
      </c>
      <c r="G13" s="23" t="n">
        <f aca="false">$B$8+F13</f>
        <v>5868.62699319728</v>
      </c>
      <c r="H13" s="8" t="n">
        <f aca="false">B13*$F$4</f>
        <v>1523.44573084146</v>
      </c>
      <c r="I13" s="23" t="n">
        <f aca="false">$F$5+H13</f>
        <v>2127.7790641748</v>
      </c>
      <c r="J13" s="23" t="n">
        <f aca="false">$F$6+H13</f>
        <v>-772.220935825202</v>
      </c>
    </row>
    <row r="14" customFormat="false" ht="15" hidden="false" customHeight="false" outlineLevel="0" collapsed="false">
      <c r="A14" s="17" t="n">
        <v>150</v>
      </c>
      <c r="B14" s="8" t="n">
        <f aca="false">A14*$B$4</f>
        <v>4562.5</v>
      </c>
      <c r="C14" s="8" t="n">
        <f aca="false">A14*365</f>
        <v>54750</v>
      </c>
      <c r="D14" s="15" t="n">
        <f aca="false">IF($B$5&gt;0,A14/$B$5,0)</f>
        <v>12.3119045723374</v>
      </c>
      <c r="E14" s="12" t="n">
        <f aca="false">IF($B$6&gt;0,A14/$B$6,0)</f>
        <v>1.077608013761</v>
      </c>
      <c r="F14" s="8" t="n">
        <f aca="false">B14*$B$7</f>
        <v>2509.375</v>
      </c>
      <c r="G14" s="23" t="n">
        <f aca="false">$B$8+F14</f>
        <v>6705.08532653061</v>
      </c>
      <c r="H14" s="8" t="n">
        <f aca="false">B14*$F$4</f>
        <v>2285.1685962622</v>
      </c>
      <c r="I14" s="23" t="n">
        <f aca="false">$F$5+H14</f>
        <v>2889.50192959553</v>
      </c>
      <c r="J14" s="23" t="n">
        <f aca="false">$F$6+H14</f>
        <v>-10.4980704044706</v>
      </c>
    </row>
    <row r="15" customFormat="false" ht="15" hidden="false" customHeight="false" outlineLevel="0" collapsed="false">
      <c r="A15" s="17" t="n">
        <v>200</v>
      </c>
      <c r="B15" s="8" t="n">
        <f aca="false">A15*$B$4</f>
        <v>6083.33333333333</v>
      </c>
      <c r="C15" s="8" t="n">
        <f aca="false">A15*365</f>
        <v>73000</v>
      </c>
      <c r="D15" s="15" t="n">
        <f aca="false">IF($B$5&gt;0,A15/$B$5,0)</f>
        <v>16.4158727631166</v>
      </c>
      <c r="E15" s="12" t="n">
        <f aca="false">IF($B$6&gt;0,A15/$B$6,0)</f>
        <v>1.43681068501467</v>
      </c>
      <c r="F15" s="8" t="n">
        <f aca="false">B15*$B$7</f>
        <v>3345.83333333333</v>
      </c>
      <c r="G15" s="23" t="n">
        <f aca="false">$B$8+F15</f>
        <v>7541.54365986395</v>
      </c>
      <c r="H15" s="8" t="n">
        <f aca="false">B15*$F$4</f>
        <v>3046.89146168293</v>
      </c>
      <c r="I15" s="23" t="n">
        <f aca="false">$F$5+H15</f>
        <v>3651.22479501626</v>
      </c>
      <c r="J15" s="23" t="n">
        <f aca="false">$F$6+H15</f>
        <v>751.224795016262</v>
      </c>
    </row>
    <row r="16" customFormat="false" ht="15" hidden="false" customHeight="false" outlineLevel="0" collapsed="false">
      <c r="A16" s="17" t="n">
        <v>250</v>
      </c>
      <c r="B16" s="8" t="n">
        <f aca="false">A16*$B$4</f>
        <v>7604.16666666667</v>
      </c>
      <c r="C16" s="8" t="n">
        <f aca="false">A16*365</f>
        <v>91250</v>
      </c>
      <c r="D16" s="15" t="n">
        <f aca="false">IF($B$5&gt;0,A16/$B$5,0)</f>
        <v>20.5198409538957</v>
      </c>
      <c r="E16" s="12" t="n">
        <f aca="false">IF($B$6&gt;0,A16/$B$6,0)</f>
        <v>1.79601335626834</v>
      </c>
      <c r="F16" s="8" t="n">
        <f aca="false">B16*$B$7</f>
        <v>4182.29166666667</v>
      </c>
      <c r="G16" s="23" t="n">
        <f aca="false">$B$8+F16</f>
        <v>8378.00199319728</v>
      </c>
      <c r="H16" s="8" t="n">
        <f aca="false">B16*$F$4</f>
        <v>3808.61432710366</v>
      </c>
      <c r="I16" s="23" t="n">
        <f aca="false">$F$5+H16</f>
        <v>4412.94766043699</v>
      </c>
      <c r="J16" s="23" t="n">
        <f aca="false">$F$6+H16</f>
        <v>1512.94766043699</v>
      </c>
    </row>
    <row r="18" customFormat="false" ht="15" hidden="false" customHeight="false" outlineLevel="0" collapsed="false">
      <c r="A18" s="2" t="s">
        <v>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2026-10-13T18:08:22Z</dcterms:created>
  <dc:creator>openpyxl</dc:creator>
  <dc:description/>
  <dc:language>en-US</dc:language>
  <cp:lastModifiedBy/>
  <dcterms:modified xsi:type="dcterms:W3CDTF">2026-10-13T18:08:22Z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