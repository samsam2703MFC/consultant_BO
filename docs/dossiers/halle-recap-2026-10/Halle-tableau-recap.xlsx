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<sst xmlns="http://schemas.openxmlformats.org/spreadsheetml/2006/main" count="280" uniqueCount="253">
  <si>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</si>
  <si>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</si>
  <si>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</si>
  <si>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</si>
  <si>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</si>
  <si>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</si>
  <si>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</si>
  <si>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</si>
  <si>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</si>
  <si>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</si>
  <si>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</si>
  <si>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</si>
  <si>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</si>
  <si>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</si>
  <si>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</si>
  <si>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</si>
  <si>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</si>
  <si>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</si>
  <si>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</si>
  <si>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</si>
  <si>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</si>
  <si>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</si>
  <si>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</si>
  <si>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</si>
  <si>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</si>
  <si>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</si>
  <si>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</si>
  <si>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</si>
  <si>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</si>
  <si>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</si>
  <si>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</si>
  <si>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</si>
  <si>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</si>
  <si>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</si>
  <si>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</si>
  <si>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</si>
  <si>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</si>
  <si>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</si>
  <si>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</si>
  <si>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</si>
  <si>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</si>
  <si>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</si>
  <si>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</si>
  <si>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</si>
  <si>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</si>
  <si>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</si>
  <si>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</si>
  <si>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</si>
  <si>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</si>
  <si>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</si>
  <si>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</si>
  <si>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</si>
  <si>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</si>
  <si>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</si>
  <si>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</si>
  <si>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</si>
  <si>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</si>
  <si>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</si>
  <si>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</si>
  <si>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</si>
  <si>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</si>
  <si>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</si>
  <si>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</si>
  <si>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</si>
  <si>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</si>
  <si>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</si>
  <si>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</si>
  <si>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</si>
  <si>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</si>
  <si>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</si>
  <si>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</si>
  <si>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</si>
  <si>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</si>
  <si>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</si>
  <si>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</si>
  <si>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</si>
  <si>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</si>
  <si>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</si>
  <si>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</si>
  <si>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</si>
  <si>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</si>
  <si>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</si>
  <si>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</si>
  <si>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</si>
  <si>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</si>
  <si>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</si>
  <si>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</si>
  <si>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</si>
  <si>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</si>
  <si>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</si>
  <si>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</si>
  <si>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</si>
  <si>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</si>
  <si>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</si>
  <si>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</si>
  <si>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</si>
  <si>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</si>
  <si>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</si>
  <si>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</si>
  <si>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</si>
  <si>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</si>
  <si>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</si>
  <si>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</si>
  <si>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</si>
  <si>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</si>
  <si>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</si>
  <si>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</si>
  <si>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</si>
  <si>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</si>
  <si>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</si>
  <si>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</si>
  <si>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</si>
  <si>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</si>
  <si>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</si>
  <si>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</si>
  <si>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</si>
  <si>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</si>
  <si>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</si>
  <si>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</si>
  <si>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</si>
  <si>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</si>
  <si>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</si>
  <si>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</si>
  <si>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</si>
  <si>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</si>
  <si>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</si>
  <si>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</si>
  <si>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</si>
  <si>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</si>
  <si>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</si>
  <si>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</si>
  <si>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</si>
  <si>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</si>
  <si>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</si>
  <si>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</si>
  <si>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</si>
  <si>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</si>
  <si>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</si>
  <si>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</si>
  <si>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</si>
  <si>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</si>
  <si>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</si>
  <si>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</si>
  <si>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</si>
  <si>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</si>
  <si>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</si>
  <si>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</si>
  <si>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</si>
  <si>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</si>
  <si>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</si>
  <si>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</si>
  <si>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</si>
  <si>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</si>
  <si>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</si>
  <si>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</si>
  <si>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</si>
  <si>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</si>
  <si>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</si>
  <si>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</si>
  <si>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</si>
  <si>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</si>
  <si>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</si>
  <si>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</si>
  <si>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</si>
  <si>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</si>
  <si>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</si>
  <si>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</si>
  <si>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</si>
  <si>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achats (B1 + B2)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</si>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</sst>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0.15</v>
      </c>
      <c r="C12" s="2" t="s">
        <v>160</v>
      </c>
    </row>
    <row r="13" customFormat="false" ht="15" hidden="false" customHeight="false" outlineLevel="0" collapsed="false">
      <c r="A13" s="6" t="s">
        <v>161</v>
      </c>
      <c r="B13" s="27" t="n">
        <v>0.4</v>
      </c>
      <c r="C13" s="2" t="s">
        <v>162</v>
      </c>
    </row>
    <row r="18" customFormat="false" ht="15" hidden="false" customHeight="false" outlineLevel="0" collapsed="false">
      <c r="A18" s="22" t="s">
        <v>163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164</v>
      </c>
      <c r="B19" s="4" t="s">
        <v>165</v>
      </c>
      <c r="C19" s="4" t="s">
        <v>166</v>
      </c>
      <c r="D19" s="4" t="s">
        <v>167</v>
      </c>
      <c r="E19" s="4" t="s">
        <v>167</v>
      </c>
      <c r="F19" s="4" t="s">
        <v>167</v>
      </c>
      <c r="G19" s="4" t="s">
        <v>168</v>
      </c>
      <c r="H19" s="4" t="s">
        <v>166</v>
      </c>
      <c r="I19" s="4" t="s">
        <v>169</v>
      </c>
      <c r="J19" s="4" t="s">
        <v>166</v>
      </c>
    </row>
    <row r="20" customFormat="false" ht="15" hidden="false" customHeight="false" outlineLevel="0" collapsed="false">
      <c r="A20" s="22" t="s">
        <v>170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B20*(1+$B$12)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171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B21*(1-$B$11)</f>
        <v>22193.5556</v>
      </c>
      <c r="H21" s="18" t="n">
        <f aca="false">IF(G$20&lt;&gt;0,G21/G$20,0)</f>
        <v>0.423586394053953</v>
      </c>
      <c r="I21" s="8" t="n">
        <f aca="false">I20*$B$13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172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173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29417.4159</v>
      </c>
      <c r="H23" s="24" t="n">
        <f aca="false">IF(G$20&lt;&gt;0,G23/G$20,0)</f>
        <v>0.561461054192975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174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175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176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177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178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179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180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181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182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183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184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185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186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7195.8359</v>
      </c>
      <c r="H36" s="24" t="n">
        <f aca="false">IF(G$20&lt;&gt;0,G36/G$20,0)</f>
        <v>0.13733978619834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187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188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5029.16923333333</v>
      </c>
      <c r="H38" s="24" t="n">
        <f aca="false">IF(G$20&lt;&gt;0,G38/G$20,0)</f>
        <v>0.095986767466622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189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190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2129.16923333333</v>
      </c>
      <c r="H40" s="24" t="n">
        <f aca="false">IF(G$20&lt;&gt;0,G40/G$20,0)</f>
        <v>0.0406373423949376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191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192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193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43437.1119502162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194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48602.2075135556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195</v>
      </c>
    </row>
    <row r="48" customFormat="false" ht="15" hidden="false" customHeight="false" outlineLevel="0" collapsed="false">
      <c r="A48" s="3" t="s">
        <v>196</v>
      </c>
    </row>
    <row r="49" customFormat="false" ht="15" hidden="false" customHeight="false" outlineLevel="0" collapsed="false">
      <c r="A49" s="6" t="s">
        <v>197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198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199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200</v>
      </c>
      <c r="D53" s="2" t="s">
        <v>201</v>
      </c>
      <c r="G53" s="17" t="n">
        <v>5300</v>
      </c>
    </row>
    <row r="54" customFormat="false" ht="15" hidden="false" customHeight="false" outlineLevel="0" collapsed="false">
      <c r="A54" s="6" t="s">
        <v>202</v>
      </c>
      <c r="B54" s="17" t="n">
        <v>-22600</v>
      </c>
      <c r="D54" s="2" t="s">
        <v>203</v>
      </c>
      <c r="G54" s="36" t="n">
        <v>5</v>
      </c>
    </row>
    <row r="55" customFormat="false" ht="15" hidden="false" customHeight="false" outlineLevel="0" collapsed="false">
      <c r="A55" s="6" t="s">
        <v>204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205</v>
      </c>
      <c r="B56" s="17" t="n">
        <v>-6200</v>
      </c>
    </row>
    <row r="57" customFormat="false" ht="15" hidden="false" customHeight="false" outlineLevel="0" collapsed="false">
      <c r="A57" s="6" t="s">
        <v>206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207</v>
      </c>
      <c r="B58" s="17" t="n">
        <v>-13400</v>
      </c>
    </row>
    <row r="59" customFormat="false" ht="15" hidden="false" customHeight="false" outlineLevel="0" collapsed="false">
      <c r="A59" s="6" t="s">
        <v>208</v>
      </c>
      <c r="B59" s="17" t="n">
        <v>-11900</v>
      </c>
    </row>
    <row r="60" customFormat="false" ht="15" hidden="false" customHeight="false" outlineLevel="0" collapsed="false">
      <c r="A60" s="19" t="s">
        <v>209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210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166</v>
      </c>
      <c r="D4" s="4" t="s">
        <v>214</v>
      </c>
      <c r="E4" s="4" t="s">
        <v>166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170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219</v>
      </c>
    </row>
    <row r="7" customFormat="false" ht="15" hidden="false" customHeight="false" outlineLevel="0" collapsed="false">
      <c r="A7" s="6" t="s">
        <v>173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231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238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239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240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241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242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243</v>
      </c>
      <c r="B10" s="4" t="s">
        <v>191</v>
      </c>
      <c r="C10" s="4" t="s">
        <v>244</v>
      </c>
      <c r="D10" s="4" t="s">
        <v>245</v>
      </c>
      <c r="E10" s="4" t="s">
        <v>246</v>
      </c>
      <c r="F10" s="4" t="s">
        <v>247</v>
      </c>
      <c r="G10" s="4" t="s">
        <v>248</v>
      </c>
      <c r="H10" s="4" t="s">
        <v>249</v>
      </c>
      <c r="I10" s="4" t="s">
        <v>250</v>
      </c>
      <c r="J10" s="4" t="s">
        <v>251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2026-10-14T04:39:49Z</dcterms:created>
  <dc:creator>openpyxl</dc:creator>
  <dc:description/>
  <dc:language>en-US</dc:language>
  <cp:lastModifiedBy/>
  <dcterms:modified xsi:type="dcterms:W3CDTF">2026-10-14T04:39:49Z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