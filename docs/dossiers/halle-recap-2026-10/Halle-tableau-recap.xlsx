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<sst xmlns="http://schemas.openxmlformats.org/spreadsheetml/2006/main" count="154" uniqueCount="140">
  <si>
    <t xml:space="preserve">Atelier by – Halle · tableau récap</t>
  </si>
  <si>
    <t xml:space="preserve">Mars → septembre 2026 (7 mois pleins), lu le 13 octobre 2026. Hors TVA.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</si>
  <si>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</si>
  <si>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</si>
  <si>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</si>
  <si>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</si>
  <si>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</si>
  <si>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</si>
  <si>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</si>
  <si>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</si>
  <si>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</si>
  <si>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</si>
  <si>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</si>
  <si>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</si>
  <si>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</si>
  <si>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</si>
  <si>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</si>
  <si>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</si>
  <si>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</si>
  <si>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</si>
  <si>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</si>
  <si>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</si>
  <si>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</si>
  <si>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</si>
  <si>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</si>
  <si>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</si>
  <si>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</si>
  <si>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</si>
  <si>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</si>
  <si>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</si>
  <si>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seuil réseau 32 % ; modèle du franchiseur 36 % + 2 % d’emballage</t>
  </si>
  <si>
    <t xml:space="preserve">Main-d’œuvre encodée</t>
  </si>
  <si>
    <t xml:space="preserve">seuil réseau 33 % ; le franchisé est à 0 €/h au panel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</si>
  <si>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</si>
  <si>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</si>
  <si>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</si>
  <si>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 encodé</t>
  </si>
  <si>
    <t xml:space="preserve">avant rémunération du gérant, charges financières et impôts</t>
  </si>
  <si>
    <t xml:space="preserve">Le point mort (structure de coûts juillet → septembre)</t>
  </si>
  <si>
    <t xml:space="preserve">Valeur</t>
  </si>
  <si>
    <t xml:space="preserve">Comment</t>
  </si>
  <si>
    <t xml:space="preserve">Main-d’œuvre par mois</t>
  </si>
  <si>
    <t xml:space="preserve">hypothèse : remplacer pour tester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</si>
  <si>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</si>
  <si>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</si>
  <si>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</si>
  <si>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</si>
  <si>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</t>
  </si>
  <si>
    <t xml:space="preserve">mesure du panel ; recomposé ticket par ticket par le cockpit : 43,9 %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</si>
  <si>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</si>
  <si>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</si>
  <si>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</si>
  <si>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</si>
  <si>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</si>
  <si>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</si>
  <si>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</si>
  <si>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</si>
  <si>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encodé au CA actuel (par mois)</t>
  </si>
  <si>
    <t xml:space="preserve">avec ces hypothèses</t>
  </si>
  <si>
    <t xml:space="preserve">Résultat encodé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</si>
  <si>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</si>
  <si>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</si>
  <si>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</si>
  <si>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</si>
  <si>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Point mort / mois</t>
  </si>
  <si>
    <t xml:space="preserve">Point mort / jour</t>
  </si>
  <si>
    <t xml:space="preserve">Marge de sécurité</t>
  </si>
  <si>
    <t xml:space="preserve">Coûts encodés au panel (juillet → septembre)</t>
  </si>
  <si>
    <t xml:space="preserve">Frais généraux encodés en octobre (par jour × 31)</t>
  </si>
  <si>
    <t xml:space="preserve">Food cost recomposé ticket par ticket (août-septembre)</t>
  </si>
  <si>
    <t xml:space="preserve">Les deux à la fois</t>
  </si>
  <si>
    <t xml:space="preserve">À savoir</t>
  </si>
  <si>
    <t xml:space="preserve">Main-d’œuvre encodée = heures planifiées × taux horaire du panel (8 à 16 €/h selon les mois) : le franchisé y compte pour 0 €/h et les charges sociales n’y sont vraisemblablement pas toutes. Résultat et point mort sont donc avant la rémunération du gérant :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</si>
  <si>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</si>
  <si>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Février (ouverture le 20)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</si>
  <si>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</si>
  <si>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</si>
  <si>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</si>
  <si>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</si>
  <si>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</si>
  <si>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</si>
  <si>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</si>
  <si>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</si>
  <si>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</si>
  <si>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</si>
  <si>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(% CA)</t>
  </si>
  <si>
    <t xml:space="preserve">Matière (€)</t>
  </si>
  <si>
    <t xml:space="preserve">Main-d’œuvre encodée (€)</t>
  </si>
  <si>
    <t xml:space="preserve">Main-d’œuvre (% CA)</t>
  </si>
  <si>
    <t xml:space="preserve">Heures planifiées</t>
  </si>
  <si>
    <t xml:space="preserve">Coût horaire encodé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</si>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</sst>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19309.8761742857</v>
      </c>
      <c r="C21" s="18" t="n">
        <f aca="false">IF('Mois par mois'!C13&gt;0,B21/'Mois par mois'!C13,0)</f>
        <v>0.374197998657673</v>
      </c>
      <c r="D21" s="7" t="n">
        <f aca="false">'Mois par mois'!K14</f>
        <v>18159.4685666667</v>
      </c>
      <c r="E21" s="18" t="n">
        <f aca="false">IF('Mois par mois'!C14&gt;0,D21/'Mois par mois'!C14,0)</f>
        <v>0.364557067933196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8099.85714285714</v>
      </c>
      <c r="C22" s="18" t="n">
        <f aca="false">IF('Mois par mois'!C13&gt;0,B22/'Mois par mois'!C13,0)</f>
        <v>0.156963737359767</v>
      </c>
      <c r="D22" s="7" t="n">
        <f aca="false">'Mois par mois'!L14</f>
        <v>8585.33333333333</v>
      </c>
      <c r="E22" s="18" t="n">
        <f aca="false">IF('Mois par mois'!C14&gt;0,D22/'Mois par mois'!C14,0)</f>
        <v>0.172353278717321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40022.4047457143</v>
      </c>
      <c r="C24" s="21" t="n">
        <f aca="false">IF('Mois par mois'!C13&gt;0,B24/'Mois par mois'!C13,0)</f>
        <v>0.775577410343888</v>
      </c>
      <c r="D24" s="20" t="n">
        <f aca="false">SUM(D21:D23)</f>
        <v>39787.4885666667</v>
      </c>
      <c r="E24" s="21" t="n">
        <f aca="false">IF('Mois par mois'!C14&gt;0,D24/'Mois par mois'!C14,0)</f>
        <v>0.798746401583273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11580.9609685714</v>
      </c>
      <c r="C25" s="24" t="n">
        <f aca="false">IF('Mois par mois'!C13&gt;0,B25/'Mois par mois'!C13,0)</f>
        <v>0.224422589656112</v>
      </c>
      <c r="D25" s="23" t="n">
        <f aca="false">'Mois par mois'!C14-D24</f>
        <v>10024.9281</v>
      </c>
      <c r="E25" s="24" t="n">
        <f aca="false">IF('Mois par mois'!C14&gt;0,D25/'Mois par mois'!C14,0)</f>
        <v>0.201253598416727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4"/>
      <c r="D27" s="4"/>
      <c r="E27" s="4"/>
      <c r="F27" s="5" t="s">
        <v>40</v>
      </c>
    </row>
    <row r="28" customFormat="false" ht="15" hidden="false" customHeight="false" outlineLevel="0" collapsed="false">
      <c r="A28" s="6" t="s">
        <v>41</v>
      </c>
      <c r="B28" s="25" t="n">
        <f aca="false">'Mois par mois'!L14</f>
        <v>8585.33333333333</v>
      </c>
      <c r="F28" s="2" t="s">
        <v>42</v>
      </c>
    </row>
    <row r="29" customFormat="false" ht="15" hidden="false" customHeight="false" outlineLevel="0" collapsed="false">
      <c r="A29" s="6" t="s">
        <v>43</v>
      </c>
      <c r="B29" s="25" t="n">
        <f aca="false">'Mois par mois'!P14</f>
        <v>13042.6866666667</v>
      </c>
      <c r="F29" s="2" t="s">
        <v>44</v>
      </c>
    </row>
    <row r="30" customFormat="false" ht="15" hidden="false" customHeight="false" outlineLevel="0" collapsed="false">
      <c r="A30" s="6" t="s">
        <v>45</v>
      </c>
      <c r="B30" s="14" t="n">
        <v>0</v>
      </c>
      <c r="F30" s="2" t="s">
        <v>46</v>
      </c>
    </row>
    <row r="31" customFormat="false" ht="15" hidden="false" customHeight="false" outlineLevel="0" collapsed="false">
      <c r="A31" s="6" t="s">
        <v>47</v>
      </c>
      <c r="B31" s="26" t="n">
        <f aca="false">'Mois par mois'!J14</f>
        <v>0.364557067933196</v>
      </c>
      <c r="F31" s="2" t="s">
        <v>48</v>
      </c>
    </row>
    <row r="32" customFormat="false" ht="15" hidden="false" customHeight="false" outlineLevel="0" collapsed="false">
      <c r="A32" s="19" t="s">
        <v>49</v>
      </c>
      <c r="B32" s="20" t="n">
        <f aca="false">SUM(B28:B30)</f>
        <v>21628.02</v>
      </c>
      <c r="F32" s="2"/>
    </row>
    <row r="33" customFormat="false" ht="15" hidden="false" customHeight="false" outlineLevel="0" collapsed="false">
      <c r="A33" s="6" t="s">
        <v>50</v>
      </c>
      <c r="B33" s="18" t="n">
        <f aca="false">1-B31</f>
        <v>0.635442932066804</v>
      </c>
      <c r="F33" s="2"/>
    </row>
    <row r="34" customFormat="false" ht="15" hidden="false" customHeight="false" outlineLevel="0" collapsed="false">
      <c r="A34" s="27" t="s">
        <v>51</v>
      </c>
      <c r="B34" s="28" t="n">
        <f aca="false">IF(B33&gt;0,B32/B33,0)</f>
        <v>34036.1327643601</v>
      </c>
      <c r="F34" s="2" t="s">
        <v>52</v>
      </c>
    </row>
    <row r="35" customFormat="false" ht="15" hidden="false" customHeight="false" outlineLevel="0" collapsed="false">
      <c r="A35" s="6" t="s">
        <v>53</v>
      </c>
      <c r="B35" s="8" t="n">
        <f aca="false">B34/B13</f>
        <v>1118.99614567759</v>
      </c>
      <c r="F35" s="2"/>
    </row>
    <row r="36" customFormat="false" ht="15" hidden="false" customHeight="false" outlineLevel="0" collapsed="false">
      <c r="A36" s="6" t="s">
        <v>54</v>
      </c>
      <c r="B36" s="10" t="n">
        <f aca="false">IF(B9&gt;0,B35/B9,0)</f>
        <v>91.846491749306</v>
      </c>
      <c r="F36" s="2"/>
    </row>
    <row r="37" customFormat="false" ht="15" hidden="false" customHeight="false" outlineLevel="0" collapsed="false">
      <c r="A37" s="6" t="s">
        <v>55</v>
      </c>
      <c r="B37" s="29" t="n">
        <f aca="false">IF(B5&gt;0,1-B34/B5,0)</f>
        <v>0.34042804586024</v>
      </c>
      <c r="F37" s="2" t="s">
        <v>56</v>
      </c>
    </row>
    <row r="38" customFormat="false" ht="15" hidden="false" customHeight="false" outlineLevel="0" collapsed="false">
      <c r="A38" s="6" t="s">
        <v>57</v>
      </c>
      <c r="B38" s="8" t="n">
        <f aca="false">B5*B33-B32</f>
        <v>11162.9740140013</v>
      </c>
      <c r="F38" s="2" t="s">
        <v>58</v>
      </c>
    </row>
    <row r="39" customFormat="false" ht="15" hidden="false" customHeight="false" outlineLevel="0" collapsed="false">
      <c r="A39" s="6" t="s">
        <v>59</v>
      </c>
      <c r="B39" s="8" t="n">
        <f aca="false">B12*B33-B32</f>
        <v>17133.998856075</v>
      </c>
      <c r="F39" s="2"/>
    </row>
    <row r="40" customFormat="false" ht="15" hidden="false" customHeight="false" outlineLevel="0" collapsed="false">
      <c r="A40" s="6" t="s">
        <v>60</v>
      </c>
      <c r="B40" s="8" t="n">
        <f aca="false">IF(B33&gt;0,1000/B33,0)</f>
        <v>1573.70544156886</v>
      </c>
      <c r="F40" s="2"/>
    </row>
    <row r="41" customFormat="false" ht="15" hidden="false" customHeight="false" outlineLevel="0" collapsed="false">
      <c r="A41" s="6" t="s">
        <v>61</v>
      </c>
      <c r="B41" s="8" t="n">
        <f aca="false">1000*B33</f>
        <v>635.442932066804</v>
      </c>
      <c r="F41" s="2"/>
    </row>
    <row r="43" customFormat="false" ht="27.75" hidden="false" customHeight="true" outlineLevel="0" collapsed="false">
      <c r="A43" s="3" t="s">
        <v>62</v>
      </c>
      <c r="B43" s="4" t="s">
        <v>63</v>
      </c>
      <c r="C43" s="4" t="s">
        <v>47</v>
      </c>
      <c r="D43" s="4" t="s">
        <v>64</v>
      </c>
      <c r="E43" s="4" t="s">
        <v>65</v>
      </c>
      <c r="F43" s="5" t="s">
        <v>66</v>
      </c>
    </row>
    <row r="44" customFormat="false" ht="15" hidden="false" customHeight="false" outlineLevel="0" collapsed="false">
      <c r="A44" s="6" t="s">
        <v>67</v>
      </c>
      <c r="B44" s="8" t="n">
        <f aca="false">'Mois par mois'!L14+'Mois par mois'!P14</f>
        <v>21628.02</v>
      </c>
      <c r="C44" s="30" t="n">
        <f aca="false">'Mois par mois'!J14</f>
        <v>0.364557067933196</v>
      </c>
      <c r="D44" s="31" t="n">
        <f aca="false">IF(C44&lt;1,B44/(1-C44),0)</f>
        <v>34036.1327643601</v>
      </c>
      <c r="E44" s="8" t="n">
        <f aca="false">D44/$B$13</f>
        <v>1118.99614567759</v>
      </c>
      <c r="F44" s="32" t="n">
        <f aca="false">IF($B$5&gt;0,1-D44/$B$5,0)</f>
        <v>0.34042804586024</v>
      </c>
    </row>
    <row r="45" customFormat="false" ht="15" hidden="false" customHeight="false" outlineLevel="0" collapsed="false">
      <c r="A45" s="6" t="s">
        <v>68</v>
      </c>
      <c r="B45" s="8" t="n">
        <f aca="false">'Mois par mois'!L14+'Mois par mois'!P16*31</f>
        <v>23663.1133333333</v>
      </c>
      <c r="C45" s="30" t="n">
        <f aca="false">'Mois par mois'!J14</f>
        <v>0.364557067933196</v>
      </c>
      <c r="D45" s="31" t="n">
        <f aca="false">IF(C45&lt;1,B45/(1-C45),0)</f>
        <v>37238.7702171273</v>
      </c>
      <c r="E45" s="8" t="n">
        <f aca="false">D45/$B$13</f>
        <v>1224.28833590555</v>
      </c>
      <c r="F45" s="32" t="n">
        <f aca="false">IF($B$5&gt;0,1-D45/$B$5,0)</f>
        <v>0.278365476715054</v>
      </c>
    </row>
    <row r="46" customFormat="false" ht="15" hidden="false" customHeight="false" outlineLevel="0" collapsed="false">
      <c r="A46" s="6" t="s">
        <v>69</v>
      </c>
      <c r="B46" s="8" t="n">
        <f aca="false">B44</f>
        <v>21628.02</v>
      </c>
      <c r="C46" s="33" t="n">
        <v>0.4386</v>
      </c>
      <c r="D46" s="31" t="n">
        <f aca="false">IF(C46&lt;1,B46/(1-C46),0)</f>
        <v>38525.1514071963</v>
      </c>
      <c r="E46" s="8" t="n">
        <f aca="false">D46/$B$13</f>
        <v>1266.58032023659</v>
      </c>
      <c r="F46" s="32" t="n">
        <f aca="false">IF($B$5&gt;0,1-D46/$B$5,0)</f>
        <v>0.253437234685428</v>
      </c>
    </row>
    <row r="47" customFormat="false" ht="15" hidden="false" customHeight="false" outlineLevel="0" collapsed="false">
      <c r="A47" s="6" t="s">
        <v>70</v>
      </c>
      <c r="B47" s="8" t="n">
        <f aca="false">B45</f>
        <v>23663.1133333333</v>
      </c>
      <c r="C47" s="18" t="n">
        <f aca="false">C46</f>
        <v>0.4386</v>
      </c>
      <c r="D47" s="31" t="n">
        <f aca="false">IF(C47&lt;1,B47/(1-C47),0)</f>
        <v>42150.1840636504</v>
      </c>
      <c r="E47" s="8" t="n">
        <f aca="false">D47/$B$13</f>
        <v>1385.75947606522</v>
      </c>
      <c r="F47" s="32" t="n">
        <f aca="false">IF($B$5&gt;0,1-D47/$B$5,0)</f>
        <v>0.183189245890958</v>
      </c>
    </row>
    <row r="49" customFormat="false" ht="15" hidden="false" customHeight="false" outlineLevel="0" collapsed="false">
      <c r="A49" s="3" t="s">
        <v>71</v>
      </c>
    </row>
    <row r="50" customFormat="false" ht="24" hidden="false" customHeight="true" outlineLevel="0" collapsed="false">
      <c r="A50" s="34" t="s">
        <v>72</v>
      </c>
      <c r="B50" s="34"/>
      <c r="C50" s="34"/>
      <c r="D50" s="34"/>
      <c r="E50" s="34"/>
      <c r="F50" s="34"/>
    </row>
    <row r="51" customFormat="false" ht="24" hidden="false" customHeight="true" outlineLevel="0" collapsed="false">
      <c r="A51" s="34" t="s">
        <v>73</v>
      </c>
      <c r="B51" s="34"/>
      <c r="C51" s="34"/>
      <c r="D51" s="34"/>
      <c r="E51" s="34"/>
      <c r="F51" s="34"/>
    </row>
    <row r="52" customFormat="false" ht="24" hidden="false" customHeight="true" outlineLevel="0" collapsed="false">
      <c r="A52" s="34" t="s">
        <v>74</v>
      </c>
      <c r="B52" s="34"/>
      <c r="C52" s="34"/>
      <c r="D52" s="34"/>
      <c r="E52" s="34"/>
      <c r="F52" s="34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9" min="2" style="0" width="13"/>
  </cols>
  <sheetData>
    <row r="1" customFormat="false" ht="16.1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39.75" hidden="false" customHeight="true" outlineLevel="0" collapsed="false">
      <c r="A4" s="5" t="s">
        <v>77</v>
      </c>
      <c r="B4" s="4" t="s">
        <v>78</v>
      </c>
      <c r="C4" s="4" t="s">
        <v>79</v>
      </c>
      <c r="D4" s="4" t="s">
        <v>80</v>
      </c>
      <c r="E4" s="4" t="s">
        <v>81</v>
      </c>
      <c r="F4" s="4" t="s">
        <v>82</v>
      </c>
      <c r="G4" s="4" t="s">
        <v>83</v>
      </c>
      <c r="H4" s="4" t="s">
        <v>84</v>
      </c>
      <c r="I4" s="4" t="s">
        <v>12</v>
      </c>
      <c r="J4" s="4" t="s">
        <v>85</v>
      </c>
      <c r="K4" s="4" t="s">
        <v>86</v>
      </c>
      <c r="L4" s="4" t="s">
        <v>87</v>
      </c>
      <c r="M4" s="4" t="s">
        <v>88</v>
      </c>
      <c r="N4" s="4" t="s">
        <v>89</v>
      </c>
      <c r="O4" s="4" t="s">
        <v>90</v>
      </c>
      <c r="P4" s="4" t="s">
        <v>91</v>
      </c>
      <c r="Q4" s="4" t="s">
        <v>92</v>
      </c>
      <c r="R4" s="4" t="s">
        <v>93</v>
      </c>
      <c r="S4" s="4" t="s">
        <v>94</v>
      </c>
    </row>
    <row r="5" customFormat="false" ht="15" hidden="false" customHeight="false" outlineLevel="0" collapsed="false">
      <c r="A5" s="6" t="s">
        <v>95</v>
      </c>
      <c r="B5" s="35" t="n">
        <v>31</v>
      </c>
      <c r="C5" s="17" t="n">
        <v>48767.34</v>
      </c>
      <c r="D5" s="17" t="n">
        <v>62000</v>
      </c>
      <c r="E5" s="29" t="n">
        <f aca="false">IF(D5&gt;0,C5/D5,0)</f>
        <v>0.78657</v>
      </c>
      <c r="F5" s="35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3" t="n">
        <v>0.398</v>
      </c>
      <c r="K5" s="8" t="n">
        <f aca="false">C5*J5</f>
        <v>19409.40132</v>
      </c>
      <c r="L5" s="17" t="n">
        <v>6334</v>
      </c>
      <c r="M5" s="18" t="n">
        <f aca="false">IF(C5&gt;0,L5/C5,0)</f>
        <v>0.129882007097373</v>
      </c>
      <c r="N5" s="36" t="n">
        <v>801.5</v>
      </c>
      <c r="O5" s="12" t="n">
        <f aca="false">IF(N5&gt;0,L5/N5,0)</f>
        <v>7.90268247036806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13664.41868</v>
      </c>
      <c r="S5" s="18" t="n">
        <f aca="false">IF(C5&gt;0,R5/C5,0)</f>
        <v>0.280196104195964</v>
      </c>
    </row>
    <row r="6" customFormat="false" ht="15" hidden="false" customHeight="false" outlineLevel="0" collapsed="false">
      <c r="A6" s="6" t="s">
        <v>96</v>
      </c>
      <c r="B6" s="35" t="n">
        <v>30</v>
      </c>
      <c r="C6" s="17" t="n">
        <v>55831.57</v>
      </c>
      <c r="D6" s="17" t="n">
        <v>62000</v>
      </c>
      <c r="E6" s="29" t="n">
        <f aca="false">IF(D6&gt;0,C6/D6,0)</f>
        <v>0.900509193548387</v>
      </c>
      <c r="F6" s="35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3" t="n">
        <v>0.391</v>
      </c>
      <c r="K6" s="8" t="n">
        <f aca="false">C6*J6</f>
        <v>21830.14387</v>
      </c>
      <c r="L6" s="17" t="n">
        <v>5814.5</v>
      </c>
      <c r="M6" s="18" t="n">
        <f aca="false">IF(C6&gt;0,L6/C6,0)</f>
        <v>0.104143587579572</v>
      </c>
      <c r="N6" s="36" t="n">
        <v>758</v>
      </c>
      <c r="O6" s="12" t="n">
        <f aca="false">IF(N6&gt;0,L6/N6,0)</f>
        <v>7.67084432717678</v>
      </c>
      <c r="P6" s="17" t="n">
        <v>9608.7</v>
      </c>
      <c r="Q6" s="18" t="n">
        <f aca="false">IF(C6&gt;0,P6/C6,0)</f>
        <v>0.172101554729699</v>
      </c>
      <c r="R6" s="8" t="n">
        <f aca="false">C6-K6-L6-P6</f>
        <v>18578.22613</v>
      </c>
      <c r="S6" s="18" t="n">
        <f aca="false">IF(C6&gt;0,R6/C6,0)</f>
        <v>0.332754857690729</v>
      </c>
    </row>
    <row r="7" customFormat="false" ht="15" hidden="false" customHeight="false" outlineLevel="0" collapsed="false">
      <c r="A7" s="6" t="s">
        <v>97</v>
      </c>
      <c r="B7" s="35" t="n">
        <v>31</v>
      </c>
      <c r="C7" s="17" t="n">
        <v>60239.57</v>
      </c>
      <c r="D7" s="17" t="n">
        <v>62000</v>
      </c>
      <c r="E7" s="29" t="n">
        <f aca="false">IF(D7&gt;0,C7/D7,0)</f>
        <v>0.971605967741936</v>
      </c>
      <c r="F7" s="35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3" t="n">
        <v>0.372</v>
      </c>
      <c r="K7" s="8" t="n">
        <f aca="false">C7*J7</f>
        <v>22409.12004</v>
      </c>
      <c r="L7" s="17" t="n">
        <v>10080.5</v>
      </c>
      <c r="M7" s="18" t="n">
        <f aca="false">IF(C7&gt;0,L7/C7,0)</f>
        <v>0.167340171916898</v>
      </c>
      <c r="N7" s="36" t="n">
        <v>628</v>
      </c>
      <c r="O7" s="12" t="n">
        <f aca="false">IF(N7&gt;0,L7/N7,0)</f>
        <v>16.0517515923567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8216.22996</v>
      </c>
      <c r="S7" s="18" t="n">
        <f aca="false">IF(C7&gt;0,R7/C7,0)</f>
        <v>0.136392573187358</v>
      </c>
    </row>
    <row r="8" customFormat="false" ht="15" hidden="false" customHeight="false" outlineLevel="0" collapsed="false">
      <c r="A8" s="6" t="s">
        <v>98</v>
      </c>
      <c r="B8" s="35" t="n">
        <v>30</v>
      </c>
      <c r="C8" s="17" t="n">
        <v>46947.83</v>
      </c>
      <c r="D8" s="17" t="n">
        <v>62000</v>
      </c>
      <c r="E8" s="29" t="n">
        <f aca="false">IF(D8&gt;0,C8/D8,0)</f>
        <v>0.757223064516129</v>
      </c>
      <c r="F8" s="35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3" t="n">
        <v>0.363</v>
      </c>
      <c r="K8" s="8" t="n">
        <f aca="false">C8*J8</f>
        <v>17042.06229</v>
      </c>
      <c r="L8" s="17" t="n">
        <v>8714</v>
      </c>
      <c r="M8" s="18" t="n">
        <f aca="false">IF(C8&gt;0,L8/C8,0)</f>
        <v>0.185610282732983</v>
      </c>
      <c r="N8" s="36" t="n">
        <v>617.5</v>
      </c>
      <c r="O8" s="12" t="n">
        <f aca="false">IF(N8&gt;0,L8/N8,0)</f>
        <v>14.1117408906883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10533.06771</v>
      </c>
      <c r="S8" s="18" t="n">
        <f aca="false">IF(C8&gt;0,R8/C8,0)</f>
        <v>0.224356859731323</v>
      </c>
    </row>
    <row r="9" customFormat="false" ht="15" hidden="false" customHeight="false" outlineLevel="0" collapsed="false">
      <c r="A9" s="6" t="s">
        <v>99</v>
      </c>
      <c r="B9" s="35" t="n">
        <v>30</v>
      </c>
      <c r="C9" s="17" t="n">
        <v>46236.55</v>
      </c>
      <c r="D9" s="17" t="n">
        <v>62000</v>
      </c>
      <c r="E9" s="29" t="n">
        <f aca="false">IF(D9&gt;0,C9/D9,0)</f>
        <v>0.745750806451613</v>
      </c>
      <c r="F9" s="35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3" t="n">
        <v>0.368</v>
      </c>
      <c r="K9" s="8" t="n">
        <f aca="false">C9*J9</f>
        <v>17015.0504</v>
      </c>
      <c r="L9" s="17" t="n">
        <v>8110.75</v>
      </c>
      <c r="M9" s="18" t="n">
        <f aca="false">IF(C9&gt;0,L9/C9,0)</f>
        <v>0.175418581187394</v>
      </c>
      <c r="N9" s="36" t="n">
        <v>675.5</v>
      </c>
      <c r="O9" s="12" t="n">
        <f aca="false">IF(N9&gt;0,L9/N9,0)</f>
        <v>12.0070318282754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8068.1196</v>
      </c>
      <c r="S9" s="18" t="n">
        <f aca="false">IF(C9&gt;0,R9/C9,0)</f>
        <v>0.174496574679556</v>
      </c>
    </row>
    <row r="10" customFormat="false" ht="15" hidden="false" customHeight="false" outlineLevel="0" collapsed="false">
      <c r="A10" s="6" t="s">
        <v>100</v>
      </c>
      <c r="B10" s="35" t="n">
        <v>31</v>
      </c>
      <c r="C10" s="17" t="n">
        <v>52350.95</v>
      </c>
      <c r="D10" s="17" t="n">
        <v>61000</v>
      </c>
      <c r="E10" s="29" t="n">
        <f aca="false">IF(D10&gt;0,C10/D10,0)</f>
        <v>0.858212295081967</v>
      </c>
      <c r="F10" s="35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3" t="n">
        <v>0.364</v>
      </c>
      <c r="K10" s="8" t="n">
        <f aca="false">C10*J10</f>
        <v>19055.7458</v>
      </c>
      <c r="L10" s="17" t="n">
        <v>8167.75</v>
      </c>
      <c r="M10" s="18" t="n">
        <f aca="false">IF(C10&gt;0,L10/C10,0)</f>
        <v>0.15601913623344</v>
      </c>
      <c r="N10" s="36" t="n">
        <v>792</v>
      </c>
      <c r="O10" s="12" t="n">
        <f aca="false">IF(N10&gt;0,L10/N10,0)</f>
        <v>10.3128156565657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12084.8242</v>
      </c>
      <c r="S10" s="18" t="n">
        <f aca="false">IF(C10&gt;0,R10/C10,0)</f>
        <v>0.230842500470383</v>
      </c>
    </row>
    <row r="11" customFormat="false" ht="15" hidden="false" customHeight="false" outlineLevel="0" collapsed="false">
      <c r="A11" s="6" t="s">
        <v>101</v>
      </c>
      <c r="B11" s="35" t="n">
        <v>30</v>
      </c>
      <c r="C11" s="17" t="n">
        <v>50849.75</v>
      </c>
      <c r="D11" s="17" t="n">
        <v>61000</v>
      </c>
      <c r="E11" s="29" t="n">
        <f aca="false">IF(D11&gt;0,C11/D11,0)</f>
        <v>0.833602459016393</v>
      </c>
      <c r="F11" s="35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3" t="n">
        <v>0.362</v>
      </c>
      <c r="K11" s="8" t="n">
        <f aca="false">C11*J11</f>
        <v>18407.6095</v>
      </c>
      <c r="L11" s="17" t="n">
        <v>9477.5</v>
      </c>
      <c r="M11" s="18" t="n">
        <f aca="false">IF(C11&gt;0,L11/C11,0)</f>
        <v>0.186382430592087</v>
      </c>
      <c r="N11" s="36" t="n">
        <v>782</v>
      </c>
      <c r="O11" s="12" t="n">
        <f aca="false">IF(N11&gt;0,L11/N11,0)</f>
        <v>12.1195652173913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9921.8405</v>
      </c>
      <c r="S11" s="18" t="n">
        <f aca="false">IF(C11&gt;0,R11/C11,0)</f>
        <v>0.195120733140281</v>
      </c>
    </row>
    <row r="12" customFormat="false" ht="15" hidden="false" customHeight="false" outlineLevel="0" collapsed="false">
      <c r="A12" s="37" t="s">
        <v>102</v>
      </c>
      <c r="B12" s="38" t="n">
        <f aca="false">SUM(B5:B11)</f>
        <v>213</v>
      </c>
      <c r="C12" s="39" t="n">
        <f aca="false">SUM(C5:C11)</f>
        <v>361223.56</v>
      </c>
      <c r="D12" s="39" t="n">
        <f aca="false">SUM(D5:D11)</f>
        <v>432000</v>
      </c>
      <c r="E12" s="40" t="n">
        <f aca="false">IF(D12&gt;0,C12/D12,0)</f>
        <v>0.836165648148148</v>
      </c>
      <c r="F12" s="38" t="n">
        <f aca="false">SUM(F5:F11)</f>
        <v>29649</v>
      </c>
      <c r="G12" s="41" t="n">
        <f aca="false">IF(F12&gt;0,C12/F12,0)</f>
        <v>12.1833302978178</v>
      </c>
      <c r="H12" s="39" t="n">
        <f aca="false">IF(B12&gt;0,C12/B12,0)</f>
        <v>1695.88525821596</v>
      </c>
      <c r="I12" s="38" t="n">
        <f aca="false">IF(B12&gt;0,F12/B12,0)</f>
        <v>139.197183098592</v>
      </c>
      <c r="J12" s="42" t="n">
        <f aca="false">IF(C12&gt;0,K12/C12,0)</f>
        <v>0.374197998657673</v>
      </c>
      <c r="K12" s="39" t="n">
        <f aca="false">SUM(K5:K11)</f>
        <v>135169.13322</v>
      </c>
      <c r="L12" s="39" t="n">
        <f aca="false">SUM(L5:L11)</f>
        <v>56699</v>
      </c>
      <c r="M12" s="42" t="n">
        <f aca="false">IF(C12&gt;0,L12/C12,0)</f>
        <v>0.156963737359767</v>
      </c>
      <c r="N12" s="43" t="n">
        <f aca="false">SUM(N5:N11)</f>
        <v>5054.5</v>
      </c>
      <c r="O12" s="41" t="n">
        <f aca="false">IF(N12&gt;0,L12/N12,0)</f>
        <v>11.2175289346127</v>
      </c>
      <c r="P12" s="39" t="n">
        <f aca="false">SUM(P5:P11)</f>
        <v>88288.7</v>
      </c>
      <c r="Q12" s="42" t="n">
        <f aca="false">IF(C12&gt;0,P12/C12,0)</f>
        <v>0.244415674326448</v>
      </c>
      <c r="R12" s="39" t="n">
        <f aca="false">SUM(R5:R11)</f>
        <v>81066.72678</v>
      </c>
      <c r="S12" s="42" t="n">
        <f aca="false">IF(C12&gt;0,R12/C12,0)</f>
        <v>0.224422589656112</v>
      </c>
    </row>
    <row r="13" customFormat="false" ht="15" hidden="false" customHeight="false" outlineLevel="0" collapsed="false">
      <c r="A13" s="37" t="s">
        <v>103</v>
      </c>
      <c r="B13" s="43" t="n">
        <f aca="false">AVERAGE(B5:B11)</f>
        <v>30.4285714285714</v>
      </c>
      <c r="C13" s="39" t="n">
        <f aca="false">AVERAGE(C5:C11)</f>
        <v>51603.3657142857</v>
      </c>
      <c r="D13" s="39" t="n">
        <f aca="false">AVERAGE(D5:D11)</f>
        <v>61714.2857142857</v>
      </c>
      <c r="E13" s="40" t="n">
        <f aca="false">IF(D13&gt;0,C13/D13,0)</f>
        <v>0.836165648148148</v>
      </c>
      <c r="F13" s="38" t="n">
        <f aca="false">AVERAGE(F5:F11)</f>
        <v>4235.57142857143</v>
      </c>
      <c r="G13" s="41" t="n">
        <f aca="false">IF(F13&gt;0,C13/F13,0)</f>
        <v>12.1833302978178</v>
      </c>
      <c r="H13" s="39" t="n">
        <f aca="false">IF(B13&gt;0,C13/B13,0)</f>
        <v>1695.88525821596</v>
      </c>
      <c r="I13" s="38" t="n">
        <f aca="false">IF(B13&gt;0,F13/B13,0)</f>
        <v>139.197183098592</v>
      </c>
      <c r="J13" s="42" t="n">
        <f aca="false">IF(C13&gt;0,K13/C13,0)</f>
        <v>0.374197998657673</v>
      </c>
      <c r="K13" s="39" t="n">
        <f aca="false">AVERAGE(K5:K11)</f>
        <v>19309.8761742857</v>
      </c>
      <c r="L13" s="39" t="n">
        <f aca="false">AVERAGE(L5:L11)</f>
        <v>8099.85714285714</v>
      </c>
      <c r="M13" s="42" t="n">
        <f aca="false">IF(C13&gt;0,L13/C13,0)</f>
        <v>0.156963737359767</v>
      </c>
      <c r="N13" s="43" t="n">
        <f aca="false">AVERAGE(N5:N11)</f>
        <v>722.071428571429</v>
      </c>
      <c r="O13" s="41" t="n">
        <f aca="false">IF(N13&gt;0,L13/N13,0)</f>
        <v>11.2175289346127</v>
      </c>
      <c r="P13" s="39" t="n">
        <f aca="false">AVERAGE(P5:P11)</f>
        <v>12612.6714285714</v>
      </c>
      <c r="Q13" s="42" t="n">
        <f aca="false">IF(C13&gt;0,P13/C13,0)</f>
        <v>0.244415674326448</v>
      </c>
      <c r="R13" s="39" t="n">
        <f aca="false">AVERAGE(R5:R11)</f>
        <v>11580.9609685714</v>
      </c>
      <c r="S13" s="42" t="n">
        <f aca="false">IF(C13&gt;0,R13/C13,0)</f>
        <v>0.224422589656112</v>
      </c>
    </row>
    <row r="14" customFormat="false" ht="15" hidden="false" customHeight="false" outlineLevel="0" collapsed="false">
      <c r="A14" s="37" t="s">
        <v>104</v>
      </c>
      <c r="B14" s="43" t="n">
        <f aca="false">AVERAGE(B9:B11)</f>
        <v>30.3333333333333</v>
      </c>
      <c r="C14" s="39" t="n">
        <f aca="false">AVERAGE(C9:C11)</f>
        <v>49812.4166666667</v>
      </c>
      <c r="D14" s="39" t="n">
        <f aca="false">AVERAGE(D9:D11)</f>
        <v>61333.3333333333</v>
      </c>
      <c r="E14" s="40" t="n">
        <f aca="false">IF(D14&gt;0,C14/D14,0)</f>
        <v>0.812158967391304</v>
      </c>
      <c r="F14" s="38" t="n">
        <f aca="false">AVERAGE(F9:F11)</f>
        <v>4085</v>
      </c>
      <c r="G14" s="41" t="n">
        <f aca="false">IF(F14&gt;0,C14/F14,0)</f>
        <v>12.1939820481436</v>
      </c>
      <c r="H14" s="39" t="n">
        <f aca="false">IF(B14&gt;0,C14/B14,0)</f>
        <v>1642.16758241758</v>
      </c>
      <c r="I14" s="38" t="n">
        <f aca="false">IF(B14&gt;0,F14/B14,0)</f>
        <v>134.67032967033</v>
      </c>
      <c r="J14" s="42" t="n">
        <f aca="false">IF(C14&gt;0,K14/C14,0)</f>
        <v>0.364557067933196</v>
      </c>
      <c r="K14" s="39" t="n">
        <f aca="false">AVERAGE(K9:K11)</f>
        <v>18159.4685666667</v>
      </c>
      <c r="L14" s="39" t="n">
        <f aca="false">AVERAGE(L9:L11)</f>
        <v>8585.33333333333</v>
      </c>
      <c r="M14" s="42" t="n">
        <f aca="false">IF(C14&gt;0,L14/C14,0)</f>
        <v>0.172353278717321</v>
      </c>
      <c r="N14" s="43" t="n">
        <f aca="false">AVERAGE(N9:N11)</f>
        <v>749.833333333333</v>
      </c>
      <c r="O14" s="41" t="n">
        <f aca="false">IF(N14&gt;0,L14/N14,0)</f>
        <v>11.4496554789953</v>
      </c>
      <c r="P14" s="39" t="n">
        <f aca="false">AVERAGE(P9:P11)</f>
        <v>13042.6866666667</v>
      </c>
      <c r="Q14" s="42" t="n">
        <f aca="false">IF(C14&gt;0,P14/C14,0)</f>
        <v>0.261836054932756</v>
      </c>
      <c r="R14" s="39" t="n">
        <f aca="false">AVERAGE(R9:R11)</f>
        <v>10024.9281</v>
      </c>
      <c r="S14" s="42" t="n">
        <f aca="false">IF(C14&gt;0,R14/C14,0)</f>
        <v>0.201253598416727</v>
      </c>
    </row>
    <row r="16" customFormat="false" ht="15" hidden="false" customHeight="false" outlineLevel="0" collapsed="false">
      <c r="A16" s="44" t="s">
        <v>105</v>
      </c>
      <c r="B16" s="35" t="n">
        <v>12</v>
      </c>
      <c r="C16" s="17" t="n">
        <v>23401.75</v>
      </c>
      <c r="D16" s="17" t="n">
        <v>23834.15</v>
      </c>
      <c r="E16" s="29" t="n">
        <f aca="false">IF(D16&gt;0,C16/D16,0)</f>
        <v>0.981857964307517</v>
      </c>
      <c r="F16" s="35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108</v>
      </c>
    </row>
    <row r="3" customFormat="false" ht="15" hidden="false" customHeight="false" outlineLevel="0" collapsed="false">
      <c r="A3" s="6" t="s">
        <v>109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5" t="s">
        <v>110</v>
      </c>
      <c r="B5" s="45" t="s">
        <v>111</v>
      </c>
      <c r="C5" s="45" t="s">
        <v>112</v>
      </c>
      <c r="D5" s="45" t="s">
        <v>113</v>
      </c>
      <c r="E5" s="45" t="s">
        <v>114</v>
      </c>
      <c r="F5" s="45" t="s">
        <v>115</v>
      </c>
    </row>
    <row r="6" customFormat="false" ht="15" hidden="false" customHeight="false" outlineLevel="0" collapsed="false">
      <c r="A6" s="6" t="s">
        <v>116</v>
      </c>
      <c r="B6" s="6" t="s">
        <v>117</v>
      </c>
      <c r="C6" s="33" t="n">
        <v>0</v>
      </c>
      <c r="D6" s="33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116</v>
      </c>
      <c r="B7" s="6" t="s">
        <v>118</v>
      </c>
      <c r="C7" s="33" t="n">
        <v>0</v>
      </c>
      <c r="D7" s="33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119</v>
      </c>
      <c r="B8" s="6" t="s">
        <v>120</v>
      </c>
      <c r="C8" s="33" t="n">
        <v>0.07</v>
      </c>
      <c r="D8" s="33" t="n">
        <v>0.07</v>
      </c>
      <c r="E8" s="8" t="n">
        <f aca="false">C8*$C$3</f>
        <v>3612.2356</v>
      </c>
      <c r="F8" s="6" t="s">
        <v>121</v>
      </c>
    </row>
    <row r="9" customFormat="false" ht="15" hidden="false" customHeight="false" outlineLevel="0" collapsed="false">
      <c r="A9" s="6" t="s">
        <v>119</v>
      </c>
      <c r="B9" s="6" t="s">
        <v>122</v>
      </c>
      <c r="C9" s="33" t="n">
        <v>0.05</v>
      </c>
      <c r="D9" s="33" t="n">
        <v>0.05</v>
      </c>
      <c r="E9" s="8" t="n">
        <f aca="false">C9*$C$3</f>
        <v>2580.16828571429</v>
      </c>
      <c r="F9" s="6" t="s">
        <v>123</v>
      </c>
    </row>
    <row r="10" customFormat="false" ht="15" hidden="false" customHeight="false" outlineLevel="0" collapsed="false">
      <c r="A10" s="6" t="s">
        <v>119</v>
      </c>
      <c r="B10" s="6" t="s">
        <v>124</v>
      </c>
      <c r="C10" s="33" t="n">
        <v>0.01</v>
      </c>
      <c r="D10" s="33" t="n">
        <v>0.005</v>
      </c>
      <c r="E10" s="8" t="n">
        <f aca="false">C10*$C$3</f>
        <v>516.033657142857</v>
      </c>
      <c r="F10" s="6" t="s">
        <v>125</v>
      </c>
    </row>
    <row r="11" customFormat="false" ht="15" hidden="false" customHeight="false" outlineLevel="0" collapsed="false">
      <c r="A11" s="6" t="s">
        <v>119</v>
      </c>
      <c r="B11" s="6" t="s">
        <v>126</v>
      </c>
      <c r="C11" s="33" t="n">
        <v>0.01</v>
      </c>
      <c r="D11" s="33" t="n">
        <v>0.01</v>
      </c>
      <c r="E11" s="8" t="n">
        <f aca="false">C11*$C$3</f>
        <v>516.033657142857</v>
      </c>
      <c r="F11" s="6" t="s">
        <v>127</v>
      </c>
    </row>
    <row r="12" customFormat="false" ht="15" hidden="false" customHeight="false" outlineLevel="0" collapsed="false">
      <c r="A12" s="6" t="s">
        <v>128</v>
      </c>
      <c r="B12" s="6" t="s">
        <v>129</v>
      </c>
      <c r="C12" s="33" t="n">
        <v>0.02</v>
      </c>
      <c r="D12" s="33" t="n">
        <v>0.02</v>
      </c>
      <c r="E12" s="8" t="n">
        <f aca="false">C12*$C$3</f>
        <v>1032.06731428571</v>
      </c>
      <c r="F12" s="6" t="s">
        <v>121</v>
      </c>
    </row>
    <row r="13" customFormat="false" ht="15" hidden="false" customHeight="false" outlineLevel="0" collapsed="false">
      <c r="A13" s="6" t="s">
        <v>128</v>
      </c>
      <c r="B13" s="6" t="s">
        <v>130</v>
      </c>
      <c r="C13" s="33" t="n">
        <v>0.015</v>
      </c>
      <c r="D13" s="33" t="n">
        <v>0.015</v>
      </c>
      <c r="E13" s="8" t="n">
        <f aca="false">C13*$C$3</f>
        <v>774.050485714286</v>
      </c>
      <c r="F13" s="6" t="s">
        <v>121</v>
      </c>
    </row>
    <row r="14" customFormat="false" ht="15" hidden="false" customHeight="false" outlineLevel="0" collapsed="false">
      <c r="A14" s="6" t="s">
        <v>128</v>
      </c>
      <c r="B14" s="6" t="s">
        <v>131</v>
      </c>
      <c r="C14" s="33" t="n">
        <v>0.015</v>
      </c>
      <c r="D14" s="33" t="n">
        <v>0.015</v>
      </c>
      <c r="E14" s="8" t="n">
        <f aca="false">C14*$C$3</f>
        <v>774.050485714286</v>
      </c>
      <c r="F14" s="6" t="s">
        <v>121</v>
      </c>
    </row>
    <row r="15" customFormat="false" ht="15" hidden="false" customHeight="false" outlineLevel="0" collapsed="false">
      <c r="A15" s="6" t="s">
        <v>132</v>
      </c>
      <c r="B15" s="6" t="s">
        <v>133</v>
      </c>
      <c r="C15" s="33" t="n">
        <v>0.05</v>
      </c>
      <c r="D15" s="33" t="n">
        <v>0.07</v>
      </c>
      <c r="E15" s="8" t="n">
        <f aca="false">C15*$C$3</f>
        <v>2580.16828571429</v>
      </c>
      <c r="F15" s="6" t="s">
        <v>121</v>
      </c>
    </row>
    <row r="16" customFormat="false" ht="15" hidden="false" customHeight="false" outlineLevel="0" collapsed="false">
      <c r="A16" s="6" t="s">
        <v>134</v>
      </c>
      <c r="B16" s="6" t="s">
        <v>135</v>
      </c>
      <c r="C16" s="33" t="n">
        <v>0.015</v>
      </c>
      <c r="D16" s="33" t="n">
        <v>0.015</v>
      </c>
      <c r="E16" s="8" t="n">
        <f aca="false">C16*$C$3</f>
        <v>774.050485714286</v>
      </c>
      <c r="F16" s="6" t="s">
        <v>136</v>
      </c>
    </row>
    <row r="17" customFormat="false" ht="15" hidden="false" customHeight="false" outlineLevel="0" collapsed="false">
      <c r="B17" s="19" t="s">
        <v>137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138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2026-10-13T17:12:05Z</dcterms:created>
  <dc:creator>openpyxl</dc:creator>
  <dc:description/>
  <dc:language>en-US</dc:language>
  <cp:lastModifiedBy/>
  <dcterms:modified xsi:type="dcterms:W3CDTF">2026-10-13T17:12:05Z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