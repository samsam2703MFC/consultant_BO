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  <sheet name="Euros par jou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<sst xmlns="http://schemas.openxmlformats.org/spreadsheetml/2006/main" count="280" uniqueCount="253">
  <si>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</si>
  <si>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</si>
  <si>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</si>
  <si>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</si>
  <si>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</si>
  <si>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</si>
  <si>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</si>
  <si>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</si>
  <si>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</si>
  <si>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</si>
  <si>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</si>
  <si>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</si>
  <si>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</si>
  <si>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</si>
  <si>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</si>
  <si>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</si>
  <si>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</si>
  <si>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</si>
  <si>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</si>
  <si>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</si>
  <si>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</si>
  <si>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</si>
  <si>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</si>
  <si>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</si>
  <si>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</si>
  <si>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</si>
  <si>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</si>
  <si>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</si>
  <si>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</si>
  <si>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</si>
  <si>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</si>
  <si>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</si>
  <si>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</si>
  <si>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</si>
  <si>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</si>
  <si>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</si>
  <si>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</si>
  <si>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</si>
  <si>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</si>
  <si>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</si>
  <si>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</si>
  <si>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</si>
  <si>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</si>
  <si>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</si>
  <si>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</si>
  <si>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</si>
  <si>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</si>
  <si>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</si>
  <si>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</si>
  <si>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</si>
  <si>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</si>
  <si>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</si>
  <si>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</si>
  <si>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</si>
  <si>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</si>
  <si>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</si>
  <si>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</si>
  <si>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</si>
  <si>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</si>
  <si>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</si>
  <si>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</si>
  <si>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</si>
  <si>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</si>
  <si>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</si>
  <si>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</si>
  <si>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</si>
  <si>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</si>
  <si>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</si>
  <si>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</si>
  <si>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</si>
  <si>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</si>
  <si>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</si>
  <si>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</si>
  <si>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</si>
  <si>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</si>
  <si>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</si>
  <si>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Ouverture en mars ; les ventes de février (du 20 au 28)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</si>
  <si>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</si>
  <si>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</si>
  <si>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</si>
  <si>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</si>
  <si>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</si>
  <si>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</si>
  <si>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</si>
  <si>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</si>
  <si>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</si>
  <si>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</si>
  <si>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</si>
  <si>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</si>
  <si>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</si>
  <si>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</si>
  <si>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</si>
  <si>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</si>
  <si>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</si>
  <si>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</si>
  <si>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</si>
  <si>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</si>
  <si>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</si>
  <si>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</si>
  <si>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</si>
  <si>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</si>
  <si>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</si>
  <si>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</si>
  <si>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</si>
  <si>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</si>
  <si>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</si>
  <si>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</si>
  <si>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</si>
  <si>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</si>
  <si>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</si>
  <si>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</si>
  <si>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</si>
  <si>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</si>
  <si>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</si>
  <si>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</si>
  <si>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</si>
  <si>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</si>
  <si>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</si>
  <si>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</si>
  <si>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</si>
  <si>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</si>
  <si>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</si>
  <si>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</si>
  <si>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</si>
  <si>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</si>
  <si>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</si>
  <si>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</si>
  <si>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</si>
  <si>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</si>
  <si>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</si>
  <si>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</si>
  <si>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</si>
  <si>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</si>
  <si>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</si>
  <si>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</si>
  <si>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</si>
  <si>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</si>
  <si>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</si>
  <si>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</si>
  <si>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</si>
  <si>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</si>
  <si>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</si>
  <si>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</si>
  <si>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</si>
  <si>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mars → septembre 2026 (à valider)</t>
  </si>
  <si>
    <t xml:space="preserve">Situation au 30/09/2026 de la fiduciaire (Pardoen), ramenée au mois sur les 7 mois d’exploitation (ouverture en mars) ; loyer, charges locatives, assurance et honoraires à leur coût mensuel. En bleu : montants de l’analyse ; fond jaune : paramètres et résultats visés ; en noir : calculs.</t>
  </si>
  <si>
    <t xml:space="preserve">Paramètres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</si>
  <si>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</si>
  <si>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</si>
  <si>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</si>
  <si>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</t>
  </si>
  <si>
    <t xml:space="preserve">Semaines par mois</t>
  </si>
  <si>
    <t xml:space="preserve">Jours par mois</t>
  </si>
  <si>
    <t xml:space="preserve">ouvert 7 jours sur 7</t>
  </si>
  <si>
    <t xml:space="preserve">Mois d’exploitation (ouverture en mars)</t>
  </si>
  <si>
    <t xml:space="preserve">pour ramener au mois les totaux de la période</t>
  </si>
  <si>
    <t xml:space="preserve">Hausse de prix moyenne (plan B1)</t>
  </si>
  <si>
    <t xml:space="preserve">baguette et tradition inchangées ; volumes supposés inchangés</t>
  </si>
  <si>
    <t xml:space="preserve">Commandes sur ventes réelles (B2), % des achats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</si>
  <si>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</si>
  <si>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</si>
  <si>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</si>
  <si>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</si>
  <si>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Résultat visé après Nathan et la banque (€ par mois)</t>
  </si>
  <si>
    <t xml:space="preserve">Poste (€ par mois)</t>
  </si>
  <si>
    <t xml:space="preserve">Analyse</t>
  </si>
  <si>
    <t xml:space="preserve">% CA</t>
  </si>
  <si>
    <t xml:space="preserve">CA pour le résultat visé</t>
  </si>
  <si>
    <t xml:space="preserve">Plan achats (B1 + B2)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</si>
  <si>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</si>
  <si>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</si>
  <si>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</si>
  <si>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</si>
  <si>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</si>
  <si>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</si>
  <si>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</si>
  <si>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</si>
  <si>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</si>
  <si>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</si>
  <si>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</si>
  <si>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</si>
  <si>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</si>
  <si>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</si>
  <si>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</si>
  <si>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</si>
  <si>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</si>
  <si>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</si>
  <si>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</si>
  <si>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</si>
  <si>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</si>
  <si>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</si>
  <si>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CA en plus par mois</t>
  </si>
  <si>
    <t xml:space="preserve">CA en plus par jour</t>
  </si>
  <si>
    <t xml:space="preserve">Point mort, Nathan payé (CA par mois)</t>
  </si>
  <si>
    <t xml:space="preserve">Point mort avec les remboursements (CA par mois)</t>
  </si>
  <si>
    <t xml:space="preserve">Colonnes D à F : le CA qui donne le résultat visé (ligne 18) ; achats et emballages suivent le CA, les autres charges restent les mêmes. Point mort : charges fixes (Nathan et remboursements compris) ÷ (1 − achats et emballages en % du CA).</t>
  </si>
  <si>
    <t xml:space="preserve">Le rapprochement avec la caisse</t>
  </si>
  <si>
    <t xml:space="preserve">CA comptable de la période (€ par mois × mois d’exploitation)</t>
  </si>
  <si>
    <t xml:space="preserve">CA de caisse HT, mars → septembre</t>
  </si>
  <si>
    <t xml:space="preserve">Écart comptable − caisse</t>
  </si>
  <si>
    <t xml:space="preserve">D’où vient la perte de la situation au 30/09</t>
  </si>
  <si>
    <t xml:space="preserve">Charges courues par mois sans CA</t>
  </si>
  <si>
    <t xml:space="preserve">Pré-ouverture 2025</t>
  </si>
  <si>
    <t xml:space="preserve">Mois sans CA (octobre → février)</t>
  </si>
  <si>
    <t xml:space="preserve">Charges courues sans CA, d’octobre à février</t>
  </si>
  <si>
    <t xml:space="preserve">Erreur de stock</t>
  </si>
  <si>
    <t xml:space="preserve">Exploitation réelle de mars → septembre</t>
  </si>
  <si>
    <t xml:space="preserve">Amortissements</t>
  </si>
  <si>
    <t xml:space="preserve">Frais financiers</t>
  </si>
  <si>
    <t xml:space="preserve">Somme des lignes</t>
  </si>
  <si>
    <t xml:space="preserve">Perte de la situation au 30/09</t>
  </si>
  <si>
    <t xml:space="preserve">L’application ou le bilan : mars → septembre 2026, en € par mois</t>
  </si>
  <si>
    <t xml:space="preserve">Application : la caisse et le P&amp;L du panel (feuille « Mois par mois », main-d’œuvre encodée, food cost mesuré par le panel). Bilan : la situation au 30/09 de la fiduciaire, ramenée au mois (feuille « Compte d’exploitation », colonne Analyse,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</si>
  <si>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</si>
  <si>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</si>
  <si>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</si>
  <si>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</si>
  <si>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HT, contre CA comptable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</si>
  <si>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</si>
  <si>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</si>
  <si>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</si>
  <si>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</si>
  <si>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</si>
  <si>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</si>
  <si>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</si>
  <si>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</si>
  <si>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</si>
  <si>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</si>
  <si>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</si>
  <si>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</si>
  <si>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</si>
  <si>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Écart de CA</t>
  </si>
  <si>
    <t xml:space="preserve">Écart de matière</t>
  </si>
  <si>
    <t xml:space="preserve">Écart de personnel</t>
  </si>
  <si>
    <t xml:space="preserve">Écart de frais généraux</t>
  </si>
  <si>
    <t xml:space="preserve">EBITDA du bilan (somme des lignes)</t>
  </si>
  <si>
    <t xml:space="preserve">Ce que rapportent quelques euros de plus par jour</t>
  </si>
  <si>
    <t xml:space="preserve">À personnel et frais généraux égaux, un euro vendu en plus ne coûte que sa matière. Paliers en bleu (modifiables) ; liens en vert vers « Récap » et « Compte d’exploitation ».</t>
  </si>
  <si>
    <t xml:space="preserve">Taux de marge, bilan</t>
  </si>
  <si>
    <t xml:space="preserve">EBITDA Nathan payé, bilan</t>
  </si>
  <si>
    <t xml:space="preserve">Après remboursements, bilan</t>
  </si>
  <si>
    <t xml:space="preserve">Taux de marge, récap</t>
  </si>
  <si>
    <t xml:space="preserve">Résultat actuel, récap</t>
  </si>
  <si>
    <t xml:space="preserve">€ par jour en plus</t>
  </si>
  <si>
    <t xml:space="preserve">CA en plus par an</t>
  </si>
  <si>
    <t xml:space="preserve">Clients par jour en plus</t>
  </si>
  <si>
    <t xml:space="preserve">ou panier en plus</t>
  </si>
  <si>
    <t xml:space="preserve">Marge directe par mois (récap)</t>
  </si>
  <si>
    <t xml:space="preserve">Résultat par mois (récap)</t>
  </si>
  <si>
    <t xml:space="preserve">Marge directe par mois (bilan)</t>
  </si>
  <si>
    <t xml:space="preserve">EBITDA Nathan payé (bilan)</t>
  </si>
  <si>
    <t xml:space="preserve">Après remboursements (bilan)</t>
  </si>
  <si>
    <t xml:space="preserve">Ligne 0 : aujourd’hui, moyenne de mars à septembre (le bilan de la page 3). Une vente faite avec une remise rapporte moins que la marge directe.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</si>
</sst>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9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8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14" t="n">
        <v>500</v>
      </c>
      <c r="C5" s="2" t="s">
        <v>148</v>
      </c>
    </row>
    <row r="6" customFormat="false" ht="15" hidden="false" customHeight="false" outlineLevel="0" collapsed="false">
      <c r="A6" s="6" t="s">
        <v>149</v>
      </c>
      <c r="B6" s="14" t="n">
        <v>2900</v>
      </c>
      <c r="C6" s="2" t="s">
        <v>150</v>
      </c>
    </row>
    <row r="7" customFormat="false" ht="15" hidden="false" customHeight="false" outlineLevel="0" collapsed="false">
      <c r="A7" s="6" t="s">
        <v>151</v>
      </c>
      <c r="B7" s="15" t="n">
        <f aca="false">52/12</f>
        <v>4.33333333333333</v>
      </c>
      <c r="C7" s="2"/>
    </row>
    <row r="8" customFormat="false" ht="15" hidden="false" customHeight="false" outlineLevel="0" collapsed="false">
      <c r="A8" s="6" t="s">
        <v>152</v>
      </c>
      <c r="B8" s="15" t="n">
        <f aca="false">365/12</f>
        <v>30.4166666666667</v>
      </c>
      <c r="C8" s="2" t="s">
        <v>153</v>
      </c>
    </row>
    <row r="9" customFormat="false" ht="15" hidden="false" customHeight="false" outlineLevel="0" collapsed="false">
      <c r="A9" s="6" t="s">
        <v>154</v>
      </c>
      <c r="B9" s="36" t="n">
        <v>7</v>
      </c>
      <c r="C9" s="2" t="s">
        <v>155</v>
      </c>
    </row>
    <row r="10" customFormat="false" ht="15" hidden="false" customHeight="false" outlineLevel="0" collapsed="false">
      <c r="A10" s="6" t="s">
        <v>156</v>
      </c>
      <c r="B10" s="27" t="n">
        <v>0.05</v>
      </c>
      <c r="C10" s="2" t="s">
        <v>157</v>
      </c>
    </row>
    <row r="11" customFormat="false" ht="15" hidden="false" customHeight="false" outlineLevel="0" collapsed="false">
      <c r="A11" s="6" t="s">
        <v>158</v>
      </c>
      <c r="B11" s="27" t="n">
        <v>0.08</v>
      </c>
      <c r="C11" s="2"/>
    </row>
    <row r="12" customFormat="false" ht="15" hidden="false" customHeight="false" outlineLevel="0" collapsed="false">
      <c r="A12" s="6" t="s">
        <v>159</v>
      </c>
      <c r="B12" s="27" t="n">
        <v>0.15</v>
      </c>
      <c r="C12" s="2" t="s">
        <v>160</v>
      </c>
    </row>
    <row r="13" customFormat="false" ht="15" hidden="false" customHeight="false" outlineLevel="0" collapsed="false">
      <c r="A13" s="6" t="s">
        <v>161</v>
      </c>
      <c r="B13" s="27" t="n">
        <v>0.4</v>
      </c>
      <c r="C13" s="2" t="s">
        <v>162</v>
      </c>
    </row>
    <row r="18" customFormat="false" ht="15" hidden="false" customHeight="false" outlineLevel="0" collapsed="false">
      <c r="A18" s="22" t="s">
        <v>163</v>
      </c>
      <c r="D18" s="14" t="n">
        <v>0</v>
      </c>
      <c r="E18" s="14" t="n">
        <v>5000</v>
      </c>
      <c r="F18" s="14" t="n">
        <v>10000</v>
      </c>
    </row>
    <row r="19" customFormat="false" ht="30" hidden="false" customHeight="true" outlineLevel="0" collapsed="false">
      <c r="A19" s="5" t="s">
        <v>164</v>
      </c>
      <c r="B19" s="4" t="s">
        <v>165</v>
      </c>
      <c r="C19" s="4" t="s">
        <v>166</v>
      </c>
      <c r="D19" s="4" t="s">
        <v>167</v>
      </c>
      <c r="E19" s="4" t="s">
        <v>167</v>
      </c>
      <c r="F19" s="4" t="s">
        <v>167</v>
      </c>
      <c r="G19" s="4" t="s">
        <v>168</v>
      </c>
      <c r="H19" s="4" t="s">
        <v>166</v>
      </c>
      <c r="I19" s="4" t="s">
        <v>169</v>
      </c>
      <c r="J19" s="4" t="s">
        <v>166</v>
      </c>
    </row>
    <row r="20" customFormat="false" ht="15" hidden="false" customHeight="false" outlineLevel="0" collapsed="false">
      <c r="A20" s="22" t="s">
        <v>170</v>
      </c>
      <c r="B20" s="17" t="n">
        <v>49899.43</v>
      </c>
      <c r="C20" s="24" t="n">
        <f aca="false">IF(B$20&lt;&gt;0,B20/B$20,0)</f>
        <v>1</v>
      </c>
      <c r="D20" s="32" t="n">
        <f aca="false">(SUM($B$24:$B$35)+$B$5*$B$7+$B$6+D$18)/(1-($B$21+$B$22)/$B$20)</f>
        <v>54482.910495642</v>
      </c>
      <c r="E20" s="32" t="n">
        <f aca="false">(SUM($B$24:$B$35)+$B$5*$B$7+$B$6+E$18)/(1-($B$21+$B$22)/$B$20)</f>
        <v>64465.763399525</v>
      </c>
      <c r="F20" s="32" t="n">
        <f aca="false">(SUM($B$24:$B$35)+$B$5*$B$7+$B$6+F$18)/(1-($B$21+$B$22)/$B$20)</f>
        <v>74448.6163034081</v>
      </c>
      <c r="G20" s="23" t="n">
        <f aca="false">B20*(1+$B$10)</f>
        <v>52394.4015</v>
      </c>
      <c r="H20" s="24" t="n">
        <f aca="false">IF(G$20&lt;&gt;0,G20/G$20,0)</f>
        <v>1</v>
      </c>
      <c r="I20" s="23" t="n">
        <f aca="false">B20*(1+$B$12)</f>
        <v>57384.3445</v>
      </c>
      <c r="J20" s="24" t="n">
        <f aca="false">IF(I$20&lt;&gt;0,I20/I$20,0)</f>
        <v>1</v>
      </c>
    </row>
    <row r="21" customFormat="false" ht="15" hidden="false" customHeight="false" outlineLevel="0" collapsed="false">
      <c r="A21" s="6" t="s">
        <v>171</v>
      </c>
      <c r="B21" s="17" t="n">
        <v>24123.43</v>
      </c>
      <c r="C21" s="18" t="n">
        <f aca="false">IF(B$20&lt;&gt;0,B21/B$20,0)</f>
        <v>0.48344099321375</v>
      </c>
      <c r="D21" s="8" t="n">
        <f aca="false">D20*$B$21/$B$20</f>
        <v>26339.272363189</v>
      </c>
      <c r="E21" s="8" t="n">
        <f aca="false">E20*$B$21/$B$20</f>
        <v>31165.392686149</v>
      </c>
      <c r="F21" s="8" t="n">
        <f aca="false">F20*$B$21/$B$20</f>
        <v>35991.513009109</v>
      </c>
      <c r="G21" s="8" t="n">
        <f aca="false">B21*(1-$B$11)</f>
        <v>22193.5556</v>
      </c>
      <c r="H21" s="18" t="n">
        <f aca="false">IF(G$20&lt;&gt;0,G21/G$20,0)</f>
        <v>0.423586394053953</v>
      </c>
      <c r="I21" s="8" t="n">
        <f aca="false">I20*$B$13</f>
        <v>22953.7378</v>
      </c>
      <c r="J21" s="18" t="n">
        <f aca="false">IF(I$20&lt;&gt;0,I21/I$20,0)</f>
        <v>0.4</v>
      </c>
    </row>
    <row r="22" customFormat="false" ht="15" hidden="false" customHeight="false" outlineLevel="0" collapsed="false">
      <c r="A22" s="6" t="s">
        <v>172</v>
      </c>
      <c r="B22" s="17" t="n">
        <v>783.43</v>
      </c>
      <c r="C22" s="18" t="n">
        <f aca="false">IF(B$20&lt;&gt;0,B22/B$20,0)</f>
        <v>0.0157001793407259</v>
      </c>
      <c r="D22" s="8" t="n">
        <f aca="false">D20*$B$22/$B$20</f>
        <v>855.391465786299</v>
      </c>
      <c r="E22" s="8" t="n">
        <f aca="false">E20*$B$22/$B$20</f>
        <v>1012.12404670935</v>
      </c>
      <c r="F22" s="8" t="n">
        <f aca="false">F20*$B$22/$B$20</f>
        <v>1168.8566276324</v>
      </c>
      <c r="G22" s="8" t="n">
        <f aca="false">B22</f>
        <v>783.43</v>
      </c>
      <c r="H22" s="18" t="n">
        <f aca="false">IF(G$20&lt;&gt;0,G22/G$20,0)</f>
        <v>0.0149525517530723</v>
      </c>
      <c r="I22" s="8" t="n">
        <f aca="false">IF(B20&gt;0,B22/B20*I20,0)</f>
        <v>900.9445</v>
      </c>
      <c r="J22" s="18" t="n">
        <f aca="false">IF(I$20&lt;&gt;0,I22/I$20,0)</f>
        <v>0.0157001793407259</v>
      </c>
    </row>
    <row r="23" customFormat="false" ht="15" hidden="false" customHeight="false" outlineLevel="0" collapsed="false">
      <c r="A23" s="19" t="s">
        <v>173</v>
      </c>
      <c r="B23" s="20" t="n">
        <f aca="false">B20-B21-B22</f>
        <v>24992.57</v>
      </c>
      <c r="C23" s="24" t="n">
        <f aca="false">IF(B$20&lt;&gt;0,B23/B$20,0)</f>
        <v>0.500858827445524</v>
      </c>
      <c r="D23" s="20" t="n">
        <f aca="false">D20-D21-D22</f>
        <v>27288.2466666667</v>
      </c>
      <c r="E23" s="20" t="n">
        <f aca="false">E20-E21-E22</f>
        <v>32288.2466666667</v>
      </c>
      <c r="F23" s="20" t="n">
        <f aca="false">F20-F21-F22</f>
        <v>37288.2466666667</v>
      </c>
      <c r="G23" s="20" t="n">
        <f aca="false">G20-G21-G22</f>
        <v>29417.4159</v>
      </c>
      <c r="H23" s="24" t="n">
        <f aca="false">IF(G$20&lt;&gt;0,G23/G$20,0)</f>
        <v>0.561461054192975</v>
      </c>
      <c r="I23" s="20" t="n">
        <f aca="false">I20-I21-I22</f>
        <v>33529.6622</v>
      </c>
      <c r="J23" s="24" t="n">
        <f aca="false">IF(I$20&lt;&gt;0,I23/I$20,0)</f>
        <v>0.584299820659274</v>
      </c>
    </row>
    <row r="24" customFormat="false" ht="15" hidden="false" customHeight="false" outlineLevel="0" collapsed="false">
      <c r="A24" s="6" t="s">
        <v>174</v>
      </c>
      <c r="B24" s="17" t="n">
        <v>8026.29</v>
      </c>
      <c r="C24" s="18" t="n">
        <f aca="false">IF(B$20&lt;&gt;0,B24/B$20,0)</f>
        <v>0.160849332347083</v>
      </c>
      <c r="D24" s="8" t="n">
        <f aca="false">$B24</f>
        <v>8026.29</v>
      </c>
      <c r="E24" s="8" t="n">
        <f aca="false">$B24</f>
        <v>8026.29</v>
      </c>
      <c r="F24" s="8" t="n">
        <f aca="false">$B24</f>
        <v>8026.29</v>
      </c>
      <c r="G24" s="8" t="n">
        <f aca="false">$B24</f>
        <v>8026.29</v>
      </c>
      <c r="H24" s="18" t="n">
        <f aca="false">IF(G$20&lt;&gt;0,G24/G$20,0)</f>
        <v>0.153189840330555</v>
      </c>
      <c r="I24" s="8" t="n">
        <f aca="false">$B24</f>
        <v>8026.29</v>
      </c>
      <c r="J24" s="18" t="n">
        <f aca="false">IF(I$20&lt;&gt;0,I24/I$20,0)</f>
        <v>0.139868984649637</v>
      </c>
    </row>
    <row r="25" customFormat="false" ht="15" hidden="false" customHeight="false" outlineLevel="0" collapsed="false">
      <c r="A25" s="6" t="s">
        <v>175</v>
      </c>
      <c r="B25" s="17" t="n">
        <v>4862</v>
      </c>
      <c r="C25" s="18" t="n">
        <f aca="false">IF(B$20&lt;&gt;0,B25/B$20,0)</f>
        <v>0.0974359827356745</v>
      </c>
      <c r="D25" s="8" t="n">
        <f aca="false">$B25</f>
        <v>4862</v>
      </c>
      <c r="E25" s="8" t="n">
        <f aca="false">$B25</f>
        <v>4862</v>
      </c>
      <c r="F25" s="8" t="n">
        <f aca="false">$B25</f>
        <v>4862</v>
      </c>
      <c r="G25" s="8" t="n">
        <f aca="false">$B25</f>
        <v>4862</v>
      </c>
      <c r="H25" s="18" t="n">
        <f aca="false">IF(G$20&lt;&gt;0,G25/G$20,0)</f>
        <v>0.0927961740339758</v>
      </c>
      <c r="I25" s="8" t="n">
        <f aca="false">$B25</f>
        <v>4862</v>
      </c>
      <c r="J25" s="18" t="n">
        <f aca="false">IF(I$20&lt;&gt;0,I25/I$20,0)</f>
        <v>0.0847269415092822</v>
      </c>
    </row>
    <row r="26" customFormat="false" ht="15" hidden="false" customHeight="false" outlineLevel="0" collapsed="false">
      <c r="A26" s="6" t="s">
        <v>176</v>
      </c>
      <c r="B26" s="17" t="n">
        <v>1297.71</v>
      </c>
      <c r="C26" s="18" t="n">
        <f aca="false">IF(B$20&lt;&gt;0,B26/B$20,0)</f>
        <v>0.0260065094931946</v>
      </c>
      <c r="D26" s="8" t="n">
        <f aca="false">$B26</f>
        <v>1297.71</v>
      </c>
      <c r="E26" s="8" t="n">
        <f aca="false">$B26</f>
        <v>1297.71</v>
      </c>
      <c r="F26" s="8" t="n">
        <f aca="false">$B26</f>
        <v>1297.71</v>
      </c>
      <c r="G26" s="8" t="n">
        <f aca="false">$B26</f>
        <v>1297.71</v>
      </c>
      <c r="H26" s="18" t="n">
        <f aca="false">IF(G$20&lt;&gt;0,G26/G$20,0)</f>
        <v>0.024768104279233</v>
      </c>
      <c r="I26" s="8" t="n">
        <f aca="false">$B26</f>
        <v>1297.71</v>
      </c>
      <c r="J26" s="18" t="n">
        <f aca="false">IF(I$20&lt;&gt;0,I26/I$20,0)</f>
        <v>0.0226143560810388</v>
      </c>
    </row>
    <row r="27" customFormat="false" ht="15" hidden="false" customHeight="false" outlineLevel="0" collapsed="false">
      <c r="A27" s="6" t="s">
        <v>177</v>
      </c>
      <c r="B27" s="17" t="n">
        <v>1294.29</v>
      </c>
      <c r="C27" s="18" t="n">
        <f aca="false">IF(B$20&lt;&gt;0,B27/B$20,0)</f>
        <v>0.025937971636149</v>
      </c>
      <c r="D27" s="8" t="n">
        <f aca="false">$B27</f>
        <v>1294.29</v>
      </c>
      <c r="E27" s="8" t="n">
        <f aca="false">$B27</f>
        <v>1294.29</v>
      </c>
      <c r="F27" s="8" t="n">
        <f aca="false">$B27</f>
        <v>1294.29</v>
      </c>
      <c r="G27" s="8" t="n">
        <f aca="false">$B27</f>
        <v>1294.29</v>
      </c>
      <c r="H27" s="18" t="n">
        <f aca="false">IF(G$20&lt;&gt;0,G27/G$20,0)</f>
        <v>0.0247028301296657</v>
      </c>
      <c r="I27" s="8" t="n">
        <f aca="false">$B27</f>
        <v>1294.29</v>
      </c>
      <c r="J27" s="18" t="n">
        <f aca="false">IF(I$20&lt;&gt;0,I27/I$20,0)</f>
        <v>0.0225547579444774</v>
      </c>
    </row>
    <row r="28" customFormat="false" ht="15" hidden="false" customHeight="false" outlineLevel="0" collapsed="false">
      <c r="A28" s="6" t="s">
        <v>178</v>
      </c>
      <c r="B28" s="17" t="n">
        <v>1493</v>
      </c>
      <c r="C28" s="18" t="n">
        <f aca="false">IF(B$20&lt;&gt;0,B28/B$20,0)</f>
        <v>0.0299201814529745</v>
      </c>
      <c r="D28" s="8" t="n">
        <f aca="false">$B28</f>
        <v>1493</v>
      </c>
      <c r="E28" s="8" t="n">
        <f aca="false">$B28</f>
        <v>1493</v>
      </c>
      <c r="F28" s="8" t="n">
        <f aca="false">$B28</f>
        <v>1493</v>
      </c>
      <c r="G28" s="8" t="n">
        <f aca="false">$B28</f>
        <v>1493</v>
      </c>
      <c r="H28" s="18" t="n">
        <f aca="false">IF(G$20&lt;&gt;0,G28/G$20,0)</f>
        <v>0.0284954109075948</v>
      </c>
      <c r="I28" s="8" t="n">
        <f aca="false">$B28</f>
        <v>1493</v>
      </c>
      <c r="J28" s="18" t="n">
        <f aca="false">IF(I$20&lt;&gt;0,I28/I$20,0)</f>
        <v>0.0260175490895431</v>
      </c>
    </row>
    <row r="29" customFormat="false" ht="15" hidden="false" customHeight="false" outlineLevel="0" collapsed="false">
      <c r="A29" s="6" t="s">
        <v>179</v>
      </c>
      <c r="B29" s="17" t="n">
        <v>1110</v>
      </c>
      <c r="C29" s="18" t="n">
        <f aca="false">IF(B$20&lt;&gt;0,B29/B$20,0)</f>
        <v>0.0222447430762235</v>
      </c>
      <c r="D29" s="8" t="n">
        <f aca="false">$B29</f>
        <v>1110</v>
      </c>
      <c r="E29" s="8" t="n">
        <f aca="false">$B29</f>
        <v>1110</v>
      </c>
      <c r="F29" s="8" t="n">
        <f aca="false">$B29</f>
        <v>1110</v>
      </c>
      <c r="G29" s="8" t="n">
        <f aca="false">$B29</f>
        <v>1110</v>
      </c>
      <c r="H29" s="18" t="n">
        <f aca="false">IF(G$20&lt;&gt;0,G29/G$20,0)</f>
        <v>0.0211854695964034</v>
      </c>
      <c r="I29" s="8" t="n">
        <f aca="false">$B29</f>
        <v>1110</v>
      </c>
      <c r="J29" s="18" t="n">
        <f aca="false">IF(I$20&lt;&gt;0,I29/I$20,0)</f>
        <v>0.01934325484889</v>
      </c>
    </row>
    <row r="30" customFormat="false" ht="15" hidden="false" customHeight="false" outlineLevel="0" collapsed="false">
      <c r="A30" s="6" t="s">
        <v>180</v>
      </c>
      <c r="B30" s="17" t="n">
        <v>946.29</v>
      </c>
      <c r="C30" s="18" t="n">
        <f aca="false">IF(B$20&lt;&gt;0,B30/B$20,0)</f>
        <v>0.0189639440771167</v>
      </c>
      <c r="D30" s="8" t="n">
        <f aca="false">$B30</f>
        <v>946.29</v>
      </c>
      <c r="E30" s="8" t="n">
        <f aca="false">$B30</f>
        <v>946.29</v>
      </c>
      <c r="F30" s="8" t="n">
        <f aca="false">$B30</f>
        <v>946.29</v>
      </c>
      <c r="G30" s="8" t="n">
        <f aca="false">$B30</f>
        <v>946.29</v>
      </c>
      <c r="H30" s="18" t="n">
        <f aca="false">IF(G$20&lt;&gt;0,G30/G$20,0)</f>
        <v>0.0180608991210635</v>
      </c>
      <c r="I30" s="8" t="n">
        <f aca="false">$B30</f>
        <v>946.29</v>
      </c>
      <c r="J30" s="18" t="n">
        <f aca="false">IF(I$20&lt;&gt;0,I30/I$20,0)</f>
        <v>0.0164903861540145</v>
      </c>
    </row>
    <row r="31" customFormat="false" ht="15" hidden="false" customHeight="false" outlineLevel="0" collapsed="false">
      <c r="A31" s="6" t="s">
        <v>181</v>
      </c>
      <c r="B31" s="17" t="n">
        <v>866.57</v>
      </c>
      <c r="C31" s="18" t="n">
        <f aca="false">IF(B$20&lt;&gt;0,B31/B$20,0)</f>
        <v>0.0173663306374442</v>
      </c>
      <c r="D31" s="8" t="n">
        <f aca="false">$B31</f>
        <v>866.57</v>
      </c>
      <c r="E31" s="8" t="n">
        <f aca="false">$B31</f>
        <v>866.57</v>
      </c>
      <c r="F31" s="8" t="n">
        <f aca="false">$B31</f>
        <v>866.57</v>
      </c>
      <c r="G31" s="8" t="n">
        <f aca="false">$B31</f>
        <v>866.57</v>
      </c>
      <c r="H31" s="18" t="n">
        <f aca="false">IF(G$20&lt;&gt;0,G31/G$20,0)</f>
        <v>0.0165393625118516</v>
      </c>
      <c r="I31" s="8" t="n">
        <f aca="false">$B31</f>
        <v>866.57</v>
      </c>
      <c r="J31" s="18" t="n">
        <f aca="false">IF(I$20&lt;&gt;0,I31/I$20,0)</f>
        <v>0.0151011570760384</v>
      </c>
    </row>
    <row r="32" customFormat="false" ht="15" hidden="false" customHeight="false" outlineLevel="0" collapsed="false">
      <c r="A32" s="6" t="s">
        <v>182</v>
      </c>
      <c r="B32" s="17" t="n">
        <v>666.86</v>
      </c>
      <c r="C32" s="18" t="n">
        <f aca="false">IF(B$20&lt;&gt;0,B32/B$20,0)</f>
        <v>0.0133640805115409</v>
      </c>
      <c r="D32" s="8" t="n">
        <f aca="false">$B32</f>
        <v>666.86</v>
      </c>
      <c r="E32" s="8" t="n">
        <f aca="false">$B32</f>
        <v>666.86</v>
      </c>
      <c r="F32" s="8" t="n">
        <f aca="false">$B32</f>
        <v>666.86</v>
      </c>
      <c r="G32" s="8" t="n">
        <f aca="false">$B32</f>
        <v>666.86</v>
      </c>
      <c r="H32" s="18" t="n">
        <f aca="false">IF(G$20&lt;&gt;0,G32/G$20,0)</f>
        <v>0.0127276957252771</v>
      </c>
      <c r="I32" s="8" t="n">
        <f aca="false">$B32</f>
        <v>666.86</v>
      </c>
      <c r="J32" s="18" t="n">
        <f aca="false">IF(I$20&lt;&gt;0,I32/I$20,0)</f>
        <v>0.011620939575253</v>
      </c>
    </row>
    <row r="33" customFormat="false" ht="15" hidden="false" customHeight="false" outlineLevel="0" collapsed="false">
      <c r="A33" s="6" t="s">
        <v>183</v>
      </c>
      <c r="B33" s="17" t="n">
        <v>632.57</v>
      </c>
      <c r="C33" s="18" t="n">
        <f aca="false">IF(B$20&lt;&gt;0,B33/B$20,0)</f>
        <v>0.0126768983132673</v>
      </c>
      <c r="D33" s="8" t="n">
        <f aca="false">$B33</f>
        <v>632.57</v>
      </c>
      <c r="E33" s="8" t="n">
        <f aca="false">$B33</f>
        <v>632.57</v>
      </c>
      <c r="F33" s="8" t="n">
        <f aca="false">$B33</f>
        <v>632.57</v>
      </c>
      <c r="G33" s="8" t="n">
        <f aca="false">$B33</f>
        <v>632.57</v>
      </c>
      <c r="H33" s="18" t="n">
        <f aca="false">IF(G$20&lt;&gt;0,G33/G$20,0)</f>
        <v>0.012073236488826</v>
      </c>
      <c r="I33" s="8" t="n">
        <f aca="false">$B33</f>
        <v>632.57</v>
      </c>
      <c r="J33" s="18" t="n">
        <f aca="false">IF(I$20&lt;&gt;0,I33/I$20,0)</f>
        <v>0.0110233898376237</v>
      </c>
    </row>
    <row r="34" customFormat="false" ht="15" hidden="false" customHeight="false" outlineLevel="0" collapsed="false">
      <c r="A34" s="6" t="s">
        <v>184</v>
      </c>
      <c r="B34" s="17" t="n">
        <v>587.14</v>
      </c>
      <c r="C34" s="18" t="n">
        <f aca="false">IF(B$20&lt;&gt;0,B34/B$20,0)</f>
        <v>0.0117664670718684</v>
      </c>
      <c r="D34" s="8" t="n">
        <f aca="false">$B34</f>
        <v>587.14</v>
      </c>
      <c r="E34" s="8" t="n">
        <f aca="false">$B34</f>
        <v>587.14</v>
      </c>
      <c r="F34" s="8" t="n">
        <f aca="false">$B34</f>
        <v>587.14</v>
      </c>
      <c r="G34" s="8" t="n">
        <f aca="false">$B34</f>
        <v>587.14</v>
      </c>
      <c r="H34" s="18" t="n">
        <f aca="false">IF(G$20&lt;&gt;0,G34/G$20,0)</f>
        <v>0.0112061591160651</v>
      </c>
      <c r="I34" s="8" t="n">
        <f aca="false">$B34</f>
        <v>587.14</v>
      </c>
      <c r="J34" s="18" t="n">
        <f aca="false">IF(I$20&lt;&gt;0,I34/I$20,0)</f>
        <v>0.0102317104972768</v>
      </c>
    </row>
    <row r="35" customFormat="false" ht="15" hidden="false" customHeight="false" outlineLevel="0" collapsed="false">
      <c r="A35" s="6" t="s">
        <v>185</v>
      </c>
      <c r="B35" s="17" t="n">
        <v>438.86</v>
      </c>
      <c r="C35" s="18" t="n">
        <f aca="false">IF(B$20&lt;&gt;0,B35/B$20,0)</f>
        <v>0.00879489004183014</v>
      </c>
      <c r="D35" s="8" t="n">
        <f aca="false">$B35</f>
        <v>438.86</v>
      </c>
      <c r="E35" s="8" t="n">
        <f aca="false">$B35</f>
        <v>438.86</v>
      </c>
      <c r="F35" s="8" t="n">
        <f aca="false">$B35</f>
        <v>438.86</v>
      </c>
      <c r="G35" s="8" t="n">
        <f aca="false">$B35</f>
        <v>438.86</v>
      </c>
      <c r="H35" s="18" t="n">
        <f aca="false">IF(G$20&lt;&gt;0,G35/G$20,0)</f>
        <v>0.00837608575412394</v>
      </c>
      <c r="I35" s="8" t="n">
        <f aca="false">$B35</f>
        <v>438.86</v>
      </c>
      <c r="J35" s="18" t="n">
        <f aca="false">IF(I$20&lt;&gt;0,I35/I$20,0)</f>
        <v>0.00764773047115664</v>
      </c>
    </row>
    <row r="36" customFormat="false" ht="15" hidden="false" customHeight="false" outlineLevel="0" collapsed="false">
      <c r="A36" s="19" t="s">
        <v>186</v>
      </c>
      <c r="B36" s="20" t="n">
        <f aca="false">B23-SUM(B24:B35)</f>
        <v>2770.99</v>
      </c>
      <c r="C36" s="24" t="n">
        <f aca="false">IF(B$20&lt;&gt;0,B36/B$20,0)</f>
        <v>0.0555314960511573</v>
      </c>
      <c r="D36" s="20" t="n">
        <f aca="false">D23-SUM(D24:D35)</f>
        <v>5066.66666666667</v>
      </c>
      <c r="E36" s="20" t="n">
        <f aca="false">E23-SUM(E24:E35)</f>
        <v>10066.6666666667</v>
      </c>
      <c r="F36" s="20" t="n">
        <f aca="false">F23-SUM(F24:F35)</f>
        <v>15066.6666666667</v>
      </c>
      <c r="G36" s="20" t="n">
        <f aca="false">G23-SUM(G24:G35)</f>
        <v>7195.8359</v>
      </c>
      <c r="H36" s="24" t="n">
        <f aca="false">IF(G$20&lt;&gt;0,G36/G$20,0)</f>
        <v>0.13733978619834</v>
      </c>
      <c r="I36" s="20" t="n">
        <f aca="false">I23-SUM(I24:I35)</f>
        <v>11308.0822</v>
      </c>
      <c r="J36" s="24" t="n">
        <f aca="false">IF(I$20&lt;&gt;0,I36/I$20,0)</f>
        <v>0.197058662925042</v>
      </c>
    </row>
    <row r="37" customFormat="false" ht="15" hidden="false" customHeight="false" outlineLevel="0" collapsed="false">
      <c r="A37" s="6" t="s">
        <v>187</v>
      </c>
      <c r="B37" s="8" t="n">
        <f aca="false">-$B$5*$B$7</f>
        <v>-2166.66666666667</v>
      </c>
      <c r="C37" s="18" t="n">
        <f aca="false">IF(B$20&lt;&gt;0,B37/B$20,0)</f>
        <v>-0.0434206696683042</v>
      </c>
      <c r="D37" s="8" t="n">
        <f aca="false">-$B$5*$B$7</f>
        <v>-2166.66666666667</v>
      </c>
      <c r="E37" s="8" t="n">
        <f aca="false">-$B$5*$B$7</f>
        <v>-2166.66666666667</v>
      </c>
      <c r="F37" s="8" t="n">
        <f aca="false">-$B$5*$B$7</f>
        <v>-2166.66666666667</v>
      </c>
      <c r="G37" s="8" t="n">
        <f aca="false">-$B$5*$B$7</f>
        <v>-2166.66666666667</v>
      </c>
      <c r="H37" s="18" t="n">
        <f aca="false">IF(G$20&lt;&gt;0,G37/G$20,0)</f>
        <v>-0.0413530187317183</v>
      </c>
      <c r="I37" s="8" t="n">
        <f aca="false">-$B$5*$B$7</f>
        <v>-2166.66666666667</v>
      </c>
      <c r="J37" s="18" t="n">
        <f aca="false">IF(I$20&lt;&gt;0,I37/I$20,0)</f>
        <v>-0.0377571040593949</v>
      </c>
    </row>
    <row r="38" customFormat="false" ht="15" hidden="false" customHeight="false" outlineLevel="0" collapsed="false">
      <c r="A38" s="22" t="s">
        <v>188</v>
      </c>
      <c r="B38" s="23" t="n">
        <f aca="false">B36+B37</f>
        <v>604.323333333331</v>
      </c>
      <c r="C38" s="24" t="n">
        <f aca="false">IF(B$20&lt;&gt;0,B38/B$20,0)</f>
        <v>0.0121108263828531</v>
      </c>
      <c r="D38" s="23" t="n">
        <f aca="false">D36+D37</f>
        <v>2900.00000000001</v>
      </c>
      <c r="E38" s="23" t="n">
        <f aca="false">E36+E37</f>
        <v>7900</v>
      </c>
      <c r="F38" s="23" t="n">
        <f aca="false">F36+F37</f>
        <v>12900</v>
      </c>
      <c r="G38" s="23" t="n">
        <f aca="false">G36+G37</f>
        <v>5029.16923333333</v>
      </c>
      <c r="H38" s="24" t="n">
        <f aca="false">IF(G$20&lt;&gt;0,G38/G$20,0)</f>
        <v>0.095986767466622</v>
      </c>
      <c r="I38" s="23" t="n">
        <f aca="false">I36+I37</f>
        <v>9141.41553333333</v>
      </c>
      <c r="J38" s="24" t="n">
        <f aca="false">IF(I$20&lt;&gt;0,I38/I$20,0)</f>
        <v>0.159301558865647</v>
      </c>
    </row>
    <row r="39" customFormat="false" ht="15" hidden="false" customHeight="false" outlineLevel="0" collapsed="false">
      <c r="A39" s="6" t="s">
        <v>189</v>
      </c>
      <c r="B39" s="8" t="n">
        <f aca="false">-$B$6</f>
        <v>-2900</v>
      </c>
      <c r="C39" s="18" t="n">
        <f aca="false">IF(B$20&lt;&gt;0,B39/B$20,0)</f>
        <v>-0.0581168963252687</v>
      </c>
      <c r="D39" s="8" t="n">
        <f aca="false">-$B$6</f>
        <v>-2900</v>
      </c>
      <c r="E39" s="8" t="n">
        <f aca="false">-$B$6</f>
        <v>-2900</v>
      </c>
      <c r="F39" s="8" t="n">
        <f aca="false">-$B$6</f>
        <v>-2900</v>
      </c>
      <c r="G39" s="8" t="n">
        <f aca="false">-$B$6</f>
        <v>-2900</v>
      </c>
      <c r="H39" s="18" t="n">
        <f aca="false">IF(G$20&lt;&gt;0,G39/G$20,0)</f>
        <v>-0.0553494250716844</v>
      </c>
      <c r="I39" s="8" t="n">
        <f aca="false">-$B$6</f>
        <v>-2900</v>
      </c>
      <c r="J39" s="18" t="n">
        <f aca="false">IF(I$20&lt;&gt;0,I39/I$20,0)</f>
        <v>-0.0505364315871901</v>
      </c>
    </row>
    <row r="40" customFormat="false" ht="15" hidden="false" customHeight="false" outlineLevel="0" collapsed="false">
      <c r="A40" s="19" t="s">
        <v>190</v>
      </c>
      <c r="B40" s="20" t="n">
        <f aca="false">B38+B39</f>
        <v>-2295.67666666667</v>
      </c>
      <c r="C40" s="24" t="n">
        <f aca="false">IF(B$20&lt;&gt;0,B40/B$20,0)</f>
        <v>-0.0460060699424155</v>
      </c>
      <c r="D40" s="20" t="n">
        <f aca="false">D38+D39</f>
        <v>0</v>
      </c>
      <c r="E40" s="20" t="n">
        <f aca="false">E38+E39</f>
        <v>5000</v>
      </c>
      <c r="F40" s="20" t="n">
        <f aca="false">F38+F39</f>
        <v>10000</v>
      </c>
      <c r="G40" s="20" t="n">
        <f aca="false">G38+G39</f>
        <v>2129.16923333333</v>
      </c>
      <c r="H40" s="24" t="n">
        <f aca="false">IF(G$20&lt;&gt;0,G40/G$20,0)</f>
        <v>0.0406373423949376</v>
      </c>
      <c r="I40" s="20" t="n">
        <f aca="false">I38+I39</f>
        <v>6241.41553333333</v>
      </c>
      <c r="J40" s="24" t="n">
        <f aca="false">IF(I$20&lt;&gt;0,I40/I$20,0)</f>
        <v>0.108765127278457</v>
      </c>
    </row>
    <row r="41" customFormat="false" ht="15" hidden="false" customHeight="false" outlineLevel="0" collapsed="false">
      <c r="A41" s="6" t="s">
        <v>191</v>
      </c>
      <c r="D41" s="8" t="n">
        <f aca="false">D20-$B$20</f>
        <v>4583.48049564198</v>
      </c>
      <c r="E41" s="8" t="n">
        <f aca="false">E20-$B$20</f>
        <v>14566.333399525</v>
      </c>
      <c r="F41" s="8" t="n">
        <f aca="false">F20-$B$20</f>
        <v>24549.1863034081</v>
      </c>
      <c r="G41" s="8" t="n">
        <f aca="false">G20-$B$20</f>
        <v>2494.9715</v>
      </c>
      <c r="I41" s="8" t="n">
        <f aca="false">I20-$B$20</f>
        <v>7484.9145</v>
      </c>
    </row>
    <row r="42" customFormat="false" ht="15" hidden="false" customHeight="false" outlineLevel="0" collapsed="false">
      <c r="A42" s="6" t="s">
        <v>192</v>
      </c>
      <c r="D42" s="8" t="n">
        <f aca="false">D41/$B$8</f>
        <v>150.689769719736</v>
      </c>
      <c r="E42" s="8" t="n">
        <f aca="false">E41/$B$8</f>
        <v>478.893152861096</v>
      </c>
      <c r="F42" s="8" t="n">
        <f aca="false">F41/$B$8</f>
        <v>807.096536002456</v>
      </c>
      <c r="G42" s="8" t="n">
        <f aca="false">G41/$B$8</f>
        <v>82.0264602739726</v>
      </c>
      <c r="I42" s="8" t="n">
        <f aca="false">I41/$B$8</f>
        <v>246.079380821918</v>
      </c>
    </row>
    <row r="44" customFormat="false" ht="15" hidden="false" customHeight="false" outlineLevel="0" collapsed="false">
      <c r="A44" s="28" t="s">
        <v>193</v>
      </c>
      <c r="B44" s="32" t="n">
        <f aca="false">IF(B20&gt;0,(SUM(B24:B35)-B37)/(1-(B21+B22)/B20),0)</f>
        <v>48692.8558113898</v>
      </c>
      <c r="G44" s="32" t="n">
        <f aca="false">IF(G20&gt;0,(SUM(G24:G35)-G37)/(1-(G21+G22)/G20),0)</f>
        <v>43437.1119502162</v>
      </c>
      <c r="I44" s="32" t="n">
        <f aca="false">IF(I20&gt;0,(SUM(I24:I35)-I37)/(1-(I21+I22)/I20),0)</f>
        <v>41739.2677600843</v>
      </c>
    </row>
    <row r="45" customFormat="false" ht="15" hidden="false" customHeight="false" outlineLevel="0" collapsed="false">
      <c r="A45" s="28" t="s">
        <v>194</v>
      </c>
      <c r="B45" s="32" t="n">
        <f aca="false">IF(B20&gt;0,(SUM(B24:B35)-B37-B39)/(1-(B21+B22)/B20),0)</f>
        <v>54482.910495642</v>
      </c>
      <c r="G45" s="32" t="n">
        <f aca="false">IF(G20&gt;0,(SUM(G24:G35)-G37-G39)/(1-(G21+G22)/G20),0)</f>
        <v>48602.2075135556</v>
      </c>
      <c r="I45" s="32" t="n">
        <f aca="false">IF(I20&gt;0,(SUM(I24:I35)-I37-I39)/(1-(I21+I22)/I20),0)</f>
        <v>46702.473117101</v>
      </c>
    </row>
    <row r="46" customFormat="false" ht="15" hidden="false" customHeight="false" outlineLevel="0" collapsed="false">
      <c r="A46" s="2" t="s">
        <v>195</v>
      </c>
    </row>
    <row r="48" customFormat="false" ht="15" hidden="false" customHeight="false" outlineLevel="0" collapsed="false">
      <c r="A48" s="3" t="s">
        <v>196</v>
      </c>
    </row>
    <row r="49" customFormat="false" ht="15" hidden="false" customHeight="false" outlineLevel="0" collapsed="false">
      <c r="A49" s="6" t="s">
        <v>197</v>
      </c>
      <c r="B49" s="8" t="n">
        <f aca="false">B20*$B$9</f>
        <v>349296.01</v>
      </c>
    </row>
    <row r="50" customFormat="false" ht="15" hidden="false" customHeight="false" outlineLevel="0" collapsed="false">
      <c r="A50" s="6" t="s">
        <v>198</v>
      </c>
      <c r="B50" s="7" t="n">
        <f aca="false">SUM('Mois par mois'!C5:C11)</f>
        <v>361223.56</v>
      </c>
    </row>
    <row r="51" customFormat="false" ht="15" hidden="false" customHeight="false" outlineLevel="0" collapsed="false">
      <c r="A51" s="6" t="s">
        <v>199</v>
      </c>
      <c r="B51" s="8" t="n">
        <f aca="false">B49-B50</f>
        <v>-11927.55</v>
      </c>
      <c r="C51" s="18" t="n">
        <f aca="false">IF(B50&gt;0,B51/B50,0)</f>
        <v>-0.0330198561799236</v>
      </c>
    </row>
    <row r="53" customFormat="false" ht="15" hidden="false" customHeight="false" outlineLevel="0" collapsed="false">
      <c r="A53" s="3" t="s">
        <v>200</v>
      </c>
      <c r="D53" s="2" t="s">
        <v>201</v>
      </c>
      <c r="G53" s="17" t="n">
        <v>5300</v>
      </c>
    </row>
    <row r="54" customFormat="false" ht="15" hidden="false" customHeight="false" outlineLevel="0" collapsed="false">
      <c r="A54" s="6" t="s">
        <v>202</v>
      </c>
      <c r="B54" s="17" t="n">
        <v>-22600</v>
      </c>
      <c r="D54" s="2" t="s">
        <v>203</v>
      </c>
      <c r="G54" s="36" t="n">
        <v>5</v>
      </c>
    </row>
    <row r="55" customFormat="false" ht="15" hidden="false" customHeight="false" outlineLevel="0" collapsed="false">
      <c r="A55" s="6" t="s">
        <v>204</v>
      </c>
      <c r="B55" s="8" t="n">
        <f aca="false">-$G$53*$G$54</f>
        <v>-26500</v>
      </c>
    </row>
    <row r="56" customFormat="false" ht="15" hidden="false" customHeight="false" outlineLevel="0" collapsed="false">
      <c r="A56" s="6" t="s">
        <v>205</v>
      </c>
      <c r="B56" s="17" t="n">
        <v>-6200</v>
      </c>
    </row>
    <row r="57" customFormat="false" ht="15" hidden="false" customHeight="false" outlineLevel="0" collapsed="false">
      <c r="A57" s="6" t="s">
        <v>206</v>
      </c>
      <c r="B57" s="8" t="n">
        <f aca="false">B36*$B$9</f>
        <v>19396.93</v>
      </c>
    </row>
    <row r="58" customFormat="false" ht="15" hidden="false" customHeight="false" outlineLevel="0" collapsed="false">
      <c r="A58" s="6" t="s">
        <v>207</v>
      </c>
      <c r="B58" s="17" t="n">
        <v>-13400</v>
      </c>
    </row>
    <row r="59" customFormat="false" ht="15" hidden="false" customHeight="false" outlineLevel="0" collapsed="false">
      <c r="A59" s="6" t="s">
        <v>208</v>
      </c>
      <c r="B59" s="17" t="n">
        <v>-11900</v>
      </c>
    </row>
    <row r="60" customFormat="false" ht="15" hidden="false" customHeight="false" outlineLevel="0" collapsed="false">
      <c r="A60" s="19" t="s">
        <v>209</v>
      </c>
      <c r="B60" s="20" t="n">
        <f aca="false">SUM(B54:B59)</f>
        <v>-61203.07</v>
      </c>
    </row>
    <row r="61" customFormat="false" ht="15" hidden="false" customHeight="false" outlineLevel="0" collapsed="false">
      <c r="A61" s="6" t="s">
        <v>210</v>
      </c>
      <c r="B61" s="17" t="n">
        <v>-59900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0" hidden="false" customHeight="true" outlineLevel="0" collapsed="false">
      <c r="A4" s="5" t="s">
        <v>115</v>
      </c>
      <c r="B4" s="4" t="s">
        <v>213</v>
      </c>
      <c r="C4" s="4" t="s">
        <v>166</v>
      </c>
      <c r="D4" s="4" t="s">
        <v>214</v>
      </c>
      <c r="E4" s="4" t="s">
        <v>166</v>
      </c>
      <c r="F4" s="4" t="s">
        <v>215</v>
      </c>
      <c r="G4" s="5" t="s">
        <v>216</v>
      </c>
    </row>
    <row r="5" customFormat="false" ht="15" hidden="false" customHeight="false" outlineLevel="0" collapsed="false">
      <c r="A5" s="22" t="s">
        <v>170</v>
      </c>
      <c r="B5" s="7" t="n">
        <f aca="false">AVERAGE('Mois par mois'!C5:C11)</f>
        <v>51603.3657142857</v>
      </c>
      <c r="D5" s="7" t="n">
        <f aca="false">'Compte d’exploitation'!B20</f>
        <v>49899.43</v>
      </c>
      <c r="F5" s="23" t="n">
        <f aca="false">D5-B5</f>
        <v>-1703.93571428571</v>
      </c>
      <c r="G5" s="2" t="s">
        <v>217</v>
      </c>
    </row>
    <row r="6" customFormat="false" ht="15" hidden="false" customHeight="false" outlineLevel="0" collapsed="false">
      <c r="A6" s="6" t="s">
        <v>218</v>
      </c>
      <c r="B6" s="7" t="n">
        <f aca="false">SUMPRODUCT('Mois par mois'!C5:C11,'Mois par mois'!T5:T11)/7</f>
        <v>19309.8761742857</v>
      </c>
      <c r="C6" s="18" t="n">
        <f aca="false">IF(B$5&gt;0,B6/B$5,0)</f>
        <v>0.374197998657673</v>
      </c>
      <c r="D6" s="7" t="n">
        <f aca="false">'Compte d’exploitation'!B21+'Compte d’exploitation'!B22</f>
        <v>24906.86</v>
      </c>
      <c r="E6" s="18" t="n">
        <f aca="false">IF(D$5&gt;0,D6/D$5,0)</f>
        <v>0.499141172554476</v>
      </c>
      <c r="F6" s="8" t="n">
        <f aca="false">D6-B6</f>
        <v>5596.98382571429</v>
      </c>
      <c r="G6" s="2" t="s">
        <v>219</v>
      </c>
    </row>
    <row r="7" customFormat="false" ht="15" hidden="false" customHeight="false" outlineLevel="0" collapsed="false">
      <c r="A7" s="6" t="s">
        <v>173</v>
      </c>
      <c r="B7" s="8" t="n">
        <f aca="false">B5-B6</f>
        <v>32293.48954</v>
      </c>
      <c r="C7" s="18" t="n">
        <f aca="false">IF(B$5&gt;0,B7/B$5,0)</f>
        <v>0.625802001342327</v>
      </c>
      <c r="D7" s="8" t="n">
        <f aca="false">D5-D6</f>
        <v>24992.57</v>
      </c>
      <c r="E7" s="18" t="n">
        <f aca="false">IF(D$5&gt;0,D7/D$5,0)</f>
        <v>0.500858827445524</v>
      </c>
      <c r="F7" s="8" t="n">
        <f aca="false">D7-B7</f>
        <v>-7300.91954</v>
      </c>
      <c r="G7" s="2"/>
    </row>
    <row r="8" customFormat="false" ht="15" hidden="false" customHeight="false" outlineLevel="0" collapsed="false">
      <c r="A8" s="6" t="s">
        <v>220</v>
      </c>
      <c r="B8" s="7" t="n">
        <f aca="false">AVERAGE('Mois par mois'!U5:U11)</f>
        <v>8099.85714285714</v>
      </c>
      <c r="C8" s="18" t="n">
        <f aca="false">IF(B$5&gt;0,B8/B$5,0)</f>
        <v>0.156963737359767</v>
      </c>
      <c r="D8" s="7" t="n">
        <f aca="false">'Compte d’exploitation'!B24</f>
        <v>8026.29</v>
      </c>
      <c r="E8" s="18" t="n">
        <f aca="false">IF(D$5&gt;0,D8/D$5,0)</f>
        <v>0.160849332347083</v>
      </c>
      <c r="F8" s="8" t="n">
        <f aca="false">D8-B8</f>
        <v>-73.5671428571432</v>
      </c>
      <c r="G8" s="2" t="s">
        <v>221</v>
      </c>
    </row>
    <row r="9" customFormat="false" ht="15" hidden="false" customHeight="false" outlineLevel="0" collapsed="false">
      <c r="A9" s="6" t="s">
        <v>138</v>
      </c>
      <c r="B9" s="7" t="n">
        <f aca="false">AVERAGE('Mois par mois'!P5:P11)</f>
        <v>12612.6714285714</v>
      </c>
      <c r="C9" s="18" t="n">
        <f aca="false">IF(B$5&gt;0,B9/B$5,0)</f>
        <v>0.244415674326448</v>
      </c>
      <c r="D9" s="7" t="n">
        <f aca="false">SUM('Compte d’exploitation'!B25:B35)</f>
        <v>14195.29</v>
      </c>
      <c r="E9" s="18" t="n">
        <f aca="false">IF(D$5&gt;0,D9/D$5,0)</f>
        <v>0.284477999047284</v>
      </c>
      <c r="F9" s="8" t="n">
        <f aca="false">D9-B9</f>
        <v>1582.61857142857</v>
      </c>
      <c r="G9" s="2" t="s">
        <v>222</v>
      </c>
    </row>
    <row r="10" customFormat="false" ht="15" hidden="false" customHeight="false" outlineLevel="0" collapsed="false">
      <c r="A10" s="22" t="s">
        <v>223</v>
      </c>
      <c r="B10" s="8" t="n">
        <f aca="false">B7-B8-B9</f>
        <v>11580.9609685714</v>
      </c>
      <c r="C10" s="18" t="n">
        <f aca="false">IF(B$5&gt;0,B10/B$5,0)</f>
        <v>0.224422589656112</v>
      </c>
      <c r="D10" s="8" t="n">
        <f aca="false">D7-D8-D9</f>
        <v>2770.99</v>
      </c>
      <c r="E10" s="18" t="n">
        <f aca="false">IF(D$5&gt;0,D10/D$5,0)</f>
        <v>0.0555314960511573</v>
      </c>
      <c r="F10" s="23" t="n">
        <f aca="false">D10-B10</f>
        <v>-8809.97096857143</v>
      </c>
      <c r="G10" s="2" t="s">
        <v>224</v>
      </c>
    </row>
    <row r="11" customFormat="false" ht="15" hidden="false" customHeight="false" outlineLevel="0" collapsed="false">
      <c r="A11" s="6" t="s">
        <v>225</v>
      </c>
      <c r="B11" s="8" t="n">
        <f aca="false">IF(B5&gt;0,(B8+B9)/(1-B6/B5),0)</f>
        <v>33097.5748351728</v>
      </c>
      <c r="D11" s="8" t="n">
        <f aca="false">IF(D5&gt;0,(D8+D9)/(1-D6/D5),0)</f>
        <v>44366.9528863738</v>
      </c>
      <c r="F11" s="8" t="n">
        <f aca="false">D11-B11</f>
        <v>11269.378051201</v>
      </c>
      <c r="G11" s="2" t="s">
        <v>226</v>
      </c>
    </row>
    <row r="12" customFormat="false" ht="15" hidden="false" customHeight="false" outlineLevel="0" collapsed="false">
      <c r="A12" s="6" t="s">
        <v>227</v>
      </c>
      <c r="B12" s="9" t="n">
        <f aca="false">AVERAGE('Mois par mois'!F5:F11)</f>
        <v>4235.57142857143</v>
      </c>
    </row>
    <row r="13" customFormat="false" ht="15" hidden="false" customHeight="false" outlineLevel="0" collapsed="false">
      <c r="A13" s="6" t="s">
        <v>228</v>
      </c>
      <c r="B13" s="12" t="n">
        <f aca="false">IF(B12&gt;0,B5/B12,0)</f>
        <v>12.1833302978178</v>
      </c>
    </row>
    <row r="15" customFormat="false" ht="15" hidden="false" customHeight="false" outlineLevel="0" collapsed="false">
      <c r="A15" s="3" t="s">
        <v>229</v>
      </c>
    </row>
    <row r="16" customFormat="false" ht="15" hidden="false" customHeight="false" outlineLevel="0" collapsed="false">
      <c r="A16" s="6" t="s">
        <v>230</v>
      </c>
      <c r="B16" s="8" t="n">
        <f aca="false">B10</f>
        <v>11580.9609685714</v>
      </c>
    </row>
    <row r="17" customFormat="false" ht="15" hidden="false" customHeight="false" outlineLevel="0" collapsed="false">
      <c r="A17" s="6" t="s">
        <v>231</v>
      </c>
      <c r="B17" s="8" t="n">
        <f aca="false">D5-B5</f>
        <v>-1703.93571428571</v>
      </c>
    </row>
    <row r="18" customFormat="false" ht="15" hidden="false" customHeight="false" outlineLevel="0" collapsed="false">
      <c r="A18" s="6" t="s">
        <v>232</v>
      </c>
      <c r="B18" s="8" t="n">
        <f aca="false">-(D6-B6)</f>
        <v>-5596.98382571429</v>
      </c>
    </row>
    <row r="19" customFormat="false" ht="15" hidden="false" customHeight="false" outlineLevel="0" collapsed="false">
      <c r="A19" s="6" t="s">
        <v>233</v>
      </c>
      <c r="B19" s="8" t="n">
        <f aca="false">-(D8-B8)</f>
        <v>73.5671428571432</v>
      </c>
    </row>
    <row r="20" customFormat="false" ht="15" hidden="false" customHeight="false" outlineLevel="0" collapsed="false">
      <c r="A20" s="6" t="s">
        <v>234</v>
      </c>
      <c r="B20" s="8" t="n">
        <f aca="false">-(D9-B9)</f>
        <v>-1582.61857142857</v>
      </c>
    </row>
    <row r="21" customFormat="false" ht="15" hidden="false" customHeight="false" outlineLevel="0" collapsed="false">
      <c r="A21" s="19" t="s">
        <v>235</v>
      </c>
      <c r="B21" s="20" t="n">
        <f aca="false">SUM(B16:B20)</f>
        <v>2770.99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9" min="6" style="0" width="15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4" customFormat="false" ht="15" hidden="false" customHeight="false" outlineLevel="0" collapsed="false">
      <c r="A4" s="6" t="s">
        <v>152</v>
      </c>
      <c r="B4" s="47" t="n">
        <f aca="false">Récap!B13</f>
        <v>30.4166666666667</v>
      </c>
      <c r="D4" s="6" t="s">
        <v>238</v>
      </c>
      <c r="F4" s="31" t="n">
        <f aca="false">1-('Compte d’exploitation'!B21+'Compte d’exploitation'!B22)/'Compte d’exploitation'!B20</f>
        <v>0.500858827445524</v>
      </c>
    </row>
    <row r="5" customFormat="false" ht="15" hidden="false" customHeight="false" outlineLevel="0" collapsed="false">
      <c r="A5" s="6" t="s">
        <v>13</v>
      </c>
      <c r="B5" s="11" t="n">
        <f aca="false">Récap!B9</f>
        <v>12.1833302978178</v>
      </c>
      <c r="D5" s="6" t="s">
        <v>239</v>
      </c>
      <c r="F5" s="7" t="n">
        <f aca="false">'Compte d’exploitation'!B38</f>
        <v>604.323333333331</v>
      </c>
    </row>
    <row r="6" customFormat="false" ht="15" hidden="false" customHeight="false" outlineLevel="0" collapsed="false">
      <c r="A6" s="6" t="s">
        <v>12</v>
      </c>
      <c r="B6" s="9" t="n">
        <f aca="false">Récap!B8</f>
        <v>139.197183098592</v>
      </c>
      <c r="D6" s="6" t="s">
        <v>240</v>
      </c>
      <c r="F6" s="7" t="n">
        <f aca="false">'Compte d’exploitation'!B40</f>
        <v>-2295.67666666667</v>
      </c>
    </row>
    <row r="7" customFormat="false" ht="15" hidden="false" customHeight="false" outlineLevel="0" collapsed="false">
      <c r="A7" s="6" t="s">
        <v>241</v>
      </c>
      <c r="B7" s="31" t="n">
        <f aca="false">1-Récap!B31</f>
        <v>0.55</v>
      </c>
    </row>
    <row r="8" customFormat="false" ht="15" hidden="false" customHeight="false" outlineLevel="0" collapsed="false">
      <c r="A8" s="6" t="s">
        <v>242</v>
      </c>
      <c r="B8" s="7" t="n">
        <f aca="false">Récap!B25</f>
        <v>4195.71032653061</v>
      </c>
    </row>
    <row r="10" customFormat="false" ht="39.75" hidden="false" customHeight="true" outlineLevel="0" collapsed="false">
      <c r="A10" s="4" t="s">
        <v>243</v>
      </c>
      <c r="B10" s="4" t="s">
        <v>191</v>
      </c>
      <c r="C10" s="4" t="s">
        <v>244</v>
      </c>
      <c r="D10" s="4" t="s">
        <v>245</v>
      </c>
      <c r="E10" s="4" t="s">
        <v>246</v>
      </c>
      <c r="F10" s="4" t="s">
        <v>247</v>
      </c>
      <c r="G10" s="4" t="s">
        <v>248</v>
      </c>
      <c r="H10" s="4" t="s">
        <v>249</v>
      </c>
      <c r="I10" s="4" t="s">
        <v>250</v>
      </c>
      <c r="J10" s="4" t="s">
        <v>251</v>
      </c>
    </row>
    <row r="11" customFormat="false" ht="15" hidden="false" customHeight="false" outlineLevel="0" collapsed="false">
      <c r="A11" s="17" t="n">
        <v>0</v>
      </c>
      <c r="B11" s="8" t="n">
        <f aca="false">A11*$B$4</f>
        <v>0</v>
      </c>
      <c r="C11" s="8" t="n">
        <f aca="false">A11*365</f>
        <v>0</v>
      </c>
      <c r="D11" s="15" t="n">
        <f aca="false">IF($B$5&gt;0,A11/$B$5,0)</f>
        <v>0</v>
      </c>
      <c r="E11" s="12" t="n">
        <f aca="false">IF($B$6&gt;0,A11/$B$6,0)</f>
        <v>0</v>
      </c>
      <c r="F11" s="8" t="n">
        <f aca="false">B11*$B$7</f>
        <v>0</v>
      </c>
      <c r="G11" s="23" t="n">
        <f aca="false">$B$8+F11</f>
        <v>4195.71032653061</v>
      </c>
      <c r="H11" s="8" t="n">
        <f aca="false">B11*$F$4</f>
        <v>0</v>
      </c>
      <c r="I11" s="23" t="n">
        <f aca="false">$F$5+H11</f>
        <v>604.323333333331</v>
      </c>
      <c r="J11" s="23" t="n">
        <f aca="false">$F$6+H11</f>
        <v>-2295.67666666667</v>
      </c>
    </row>
    <row r="12" customFormat="false" ht="15" hidden="false" customHeight="false" outlineLevel="0" collapsed="false">
      <c r="A12" s="17" t="n">
        <v>50</v>
      </c>
      <c r="B12" s="8" t="n">
        <f aca="false">A12*$B$4</f>
        <v>1520.83333333333</v>
      </c>
      <c r="C12" s="8" t="n">
        <f aca="false">A12*365</f>
        <v>18250</v>
      </c>
      <c r="D12" s="15" t="n">
        <f aca="false">IF($B$5&gt;0,A12/$B$5,0)</f>
        <v>4.10396819077914</v>
      </c>
      <c r="E12" s="12" t="n">
        <f aca="false">IF($B$6&gt;0,A12/$B$6,0)</f>
        <v>0.359202671253668</v>
      </c>
      <c r="F12" s="8" t="n">
        <f aca="false">B12*$B$7</f>
        <v>836.458333333334</v>
      </c>
      <c r="G12" s="23" t="n">
        <f aca="false">$B$8+F12</f>
        <v>5032.16865986395</v>
      </c>
      <c r="H12" s="8" t="n">
        <f aca="false">B12*$F$4</f>
        <v>761.722800073401</v>
      </c>
      <c r="I12" s="23" t="n">
        <f aca="false">$F$5+H12</f>
        <v>1366.04613340673</v>
      </c>
      <c r="J12" s="23" t="n">
        <f aca="false">$F$6+H12</f>
        <v>-1533.95386659327</v>
      </c>
    </row>
    <row r="13" customFormat="false" ht="15" hidden="false" customHeight="false" outlineLevel="0" collapsed="false">
      <c r="A13" s="17" t="n">
        <v>100</v>
      </c>
      <c r="B13" s="8" t="n">
        <f aca="false">A13*$B$4</f>
        <v>3041.66666666667</v>
      </c>
      <c r="C13" s="8" t="n">
        <f aca="false">A13*365</f>
        <v>36500</v>
      </c>
      <c r="D13" s="15" t="n">
        <f aca="false">IF($B$5&gt;0,A13/$B$5,0)</f>
        <v>8.20793638155828</v>
      </c>
      <c r="E13" s="12" t="n">
        <f aca="false">IF($B$6&gt;0,A13/$B$6,0)</f>
        <v>0.718405342507336</v>
      </c>
      <c r="F13" s="8" t="n">
        <f aca="false">B13*$B$7</f>
        <v>1672.91666666667</v>
      </c>
      <c r="G13" s="23" t="n">
        <f aca="false">$B$8+F13</f>
        <v>5868.62699319728</v>
      </c>
      <c r="H13" s="8" t="n">
        <f aca="false">B13*$F$4</f>
        <v>1523.4456001468</v>
      </c>
      <c r="I13" s="23" t="n">
        <f aca="false">$F$5+H13</f>
        <v>2127.76893348013</v>
      </c>
      <c r="J13" s="23" t="n">
        <f aca="false">$F$6+H13</f>
        <v>-772.231066519867</v>
      </c>
    </row>
    <row r="14" customFormat="false" ht="15" hidden="false" customHeight="false" outlineLevel="0" collapsed="false">
      <c r="A14" s="17" t="n">
        <v>150</v>
      </c>
      <c r="B14" s="8" t="n">
        <f aca="false">A14*$B$4</f>
        <v>4562.5</v>
      </c>
      <c r="C14" s="8" t="n">
        <f aca="false">A14*365</f>
        <v>54750</v>
      </c>
      <c r="D14" s="15" t="n">
        <f aca="false">IF($B$5&gt;0,A14/$B$5,0)</f>
        <v>12.3119045723374</v>
      </c>
      <c r="E14" s="12" t="n">
        <f aca="false">IF($B$6&gt;0,A14/$B$6,0)</f>
        <v>1.077608013761</v>
      </c>
      <c r="F14" s="8" t="n">
        <f aca="false">B14*$B$7</f>
        <v>2509.375</v>
      </c>
      <c r="G14" s="23" t="n">
        <f aca="false">$B$8+F14</f>
        <v>6705.08532653061</v>
      </c>
      <c r="H14" s="8" t="n">
        <f aca="false">B14*$F$4</f>
        <v>2285.1684002202</v>
      </c>
      <c r="I14" s="23" t="n">
        <f aca="false">$F$5+H14</f>
        <v>2889.49173355353</v>
      </c>
      <c r="J14" s="23" t="n">
        <f aca="false">$F$6+H14</f>
        <v>-10.5082664464658</v>
      </c>
    </row>
    <row r="15" customFormat="false" ht="15" hidden="false" customHeight="false" outlineLevel="0" collapsed="false">
      <c r="A15" s="17" t="n">
        <v>200</v>
      </c>
      <c r="B15" s="8" t="n">
        <f aca="false">A15*$B$4</f>
        <v>6083.33333333333</v>
      </c>
      <c r="C15" s="8" t="n">
        <f aca="false">A15*365</f>
        <v>73000</v>
      </c>
      <c r="D15" s="15" t="n">
        <f aca="false">IF($B$5&gt;0,A15/$B$5,0)</f>
        <v>16.4158727631166</v>
      </c>
      <c r="E15" s="12" t="n">
        <f aca="false">IF($B$6&gt;0,A15/$B$6,0)</f>
        <v>1.43681068501467</v>
      </c>
      <c r="F15" s="8" t="n">
        <f aca="false">B15*$B$7</f>
        <v>3345.83333333333</v>
      </c>
      <c r="G15" s="23" t="n">
        <f aca="false">$B$8+F15</f>
        <v>7541.54365986395</v>
      </c>
      <c r="H15" s="8" t="n">
        <f aca="false">B15*$F$4</f>
        <v>3046.8912002936</v>
      </c>
      <c r="I15" s="23" t="n">
        <f aca="false">$F$5+H15</f>
        <v>3651.21453362694</v>
      </c>
      <c r="J15" s="23" t="n">
        <f aca="false">$F$6+H15</f>
        <v>751.214533626936</v>
      </c>
    </row>
    <row r="16" customFormat="false" ht="15" hidden="false" customHeight="false" outlineLevel="0" collapsed="false">
      <c r="A16" s="17" t="n">
        <v>250</v>
      </c>
      <c r="B16" s="8" t="n">
        <f aca="false">A16*$B$4</f>
        <v>7604.16666666667</v>
      </c>
      <c r="C16" s="8" t="n">
        <f aca="false">A16*365</f>
        <v>91250</v>
      </c>
      <c r="D16" s="15" t="n">
        <f aca="false">IF($B$5&gt;0,A16/$B$5,0)</f>
        <v>20.5198409538957</v>
      </c>
      <c r="E16" s="12" t="n">
        <f aca="false">IF($B$6&gt;0,A16/$B$6,0)</f>
        <v>1.79601335626834</v>
      </c>
      <c r="F16" s="8" t="n">
        <f aca="false">B16*$B$7</f>
        <v>4182.29166666667</v>
      </c>
      <c r="G16" s="23" t="n">
        <f aca="false">$B$8+F16</f>
        <v>8378.00199319728</v>
      </c>
      <c r="H16" s="8" t="n">
        <f aca="false">B16*$F$4</f>
        <v>3808.61400036701</v>
      </c>
      <c r="I16" s="23" t="n">
        <f aca="false">$F$5+H16</f>
        <v>4412.93733370034</v>
      </c>
      <c r="J16" s="23" t="n">
        <f aca="false">$F$6+H16</f>
        <v>1512.93733370034</v>
      </c>
    </row>
    <row r="18" customFormat="false" ht="15" hidden="false" customHeight="false" outlineLevel="0" collapsed="false">
      <c r="A18" s="2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2026-10-14T04:31:46Z</dcterms:created>
  <dc:creator>openpyxl</dc:creator>
  <dc:description/>
  <dc:language>en-US</dc:language>
  <cp:lastModifiedBy/>
  <dcterms:modified xsi:type="dcterms:W3CDTF">2026-10-14T04:31:46Z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