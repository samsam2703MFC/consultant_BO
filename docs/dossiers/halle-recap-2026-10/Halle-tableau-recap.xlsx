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4" authorId="0">
      <text>
        <r>
          <rPr>
            <sz val="10"/>
            <rFont val="Arial"/>
            <family val="2"/>
          </rPr>
          <t xml:space="preserve">Mars → septembre (feuille Mois par mois) + février, du 20 au 28 : 6 507 €.</t>
        </r>
      </text>
    </comment>
  </commentList>
</comments>
</file>

<file path=xl/sharedStrings.xml><?xml version="1.0" encoding="utf-8"?>
<sst xmlns="http://schemas.openxmlformats.org/spreadsheetml/2006/main" count="226" uniqueCount="211">
  <si>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</si>
  <si>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</si>
  <si>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</si>
  <si>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</si>
  <si>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</si>
  <si>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</si>
  <si>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</si>
  <si>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</si>
  <si>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</si>
  <si>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</si>
  <si>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</si>
  <si>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</si>
  <si>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</si>
  <si>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</si>
  <si>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</si>
  <si>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</si>
  <si>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</si>
  <si>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</si>
  <si>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</si>
  <si>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</si>
  <si>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</si>
  <si>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</si>
  <si>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</si>
  <si>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</si>
  <si>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</si>
  <si>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</si>
  <si>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</si>
  <si>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</si>
  <si>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</si>
  <si>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</si>
  <si>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</si>
  <si>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</si>
  <si>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</si>
  <si>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</si>
  <si>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</si>
  <si>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</si>
  <si>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</si>
  <si>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</si>
  <si>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</si>
  <si>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</si>
  <si>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</si>
  <si>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</si>
  <si>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</si>
  <si>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</si>
  <si>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</si>
  <si>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</si>
  <si>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</si>
  <si>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</si>
  <si>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</si>
  <si>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</si>
  <si>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</si>
  <si>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</si>
  <si>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</si>
  <si>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</si>
  <si>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</si>
  <si>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</si>
  <si>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</si>
  <si>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</si>
  <si>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</si>
  <si>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</si>
  <si>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</si>
  <si>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</si>
  <si>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</si>
  <si>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</si>
  <si>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</si>
  <si>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</si>
  <si>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</si>
  <si>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</si>
  <si>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</si>
  <si>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</si>
  <si>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</si>
  <si>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</si>
  <si>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</si>
  <si>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</si>
  <si>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</si>
  <si>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</si>
  <si>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Février (ouverture le 20)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</si>
  <si>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</si>
  <si>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</si>
  <si>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</si>
  <si>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</si>
  <si>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</si>
  <si>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</si>
  <si>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</si>
  <si>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</si>
  <si>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</si>
  <si>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</si>
  <si>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</si>
  <si>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</si>
  <si>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</si>
  <si>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</si>
  <si>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</si>
  <si>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</si>
  <si>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</si>
  <si>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</si>
  <si>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</si>
  <si>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</si>
  <si>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</si>
  <si>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</si>
  <si>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</si>
  <si>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</si>
  <si>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</si>
  <si>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</si>
  <si>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</si>
  <si>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</si>
  <si>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</si>
  <si>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</si>
  <si>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</si>
  <si>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</si>
  <si>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</si>
  <si>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</si>
  <si>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</si>
  <si>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</si>
  <si>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</si>
  <si>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</si>
  <si>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</si>
  <si>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</si>
  <si>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</si>
  <si>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</si>
  <si>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</si>
  <si>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</si>
  <si>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</si>
  <si>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</si>
  <si>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</si>
  <si>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</si>
  <si>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</si>
  <si>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</si>
  <si>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</si>
  <si>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</si>
  <si>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</si>
  <si>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</si>
  <si>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</si>
  <si>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</si>
  <si>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</si>
  <si>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</si>
  <si>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</si>
  <si>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</si>
  <si>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</si>
  <si>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</si>
  <si>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</si>
  <si>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</si>
  <si>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</si>
  <si>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</si>
  <si>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</si>
  <si>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avril → septembre 2026 (à valider)</t>
  </si>
  <si>
    <t xml:space="preserve">Analyse transmise le 13 octobre 2026, à partir de la situation comptable au 30/09/2026 de la fiduciaire (Pardoen). Période supposée par l'analyse : avril → septembre 2026, lissée sur 6 mois ; loyer, charges locatives, assurance bâtiment et fiduciaire ramenés à leur coût mensuel. À valider. En bleu : montants de l’analyse ; fond jaune : paramètres ; en noir : calculs.</t>
  </si>
  <si>
    <t xml:space="preserve">Paramètres</t>
  </si>
  <si>
    <t xml:space="preserve">Hausse de prix moyenne (plan B1)</t>
  </si>
  <si>
    <t xml:space="preserve">baguette et tradition inchangées, + 8 à 10 % sur viennoiserie, pâtisserie, traiteur ; volumes supposés inchangés</t>
  </si>
  <si>
    <t xml:space="preserve">Baisse des achats du plan (B2 + B3 + B4), € par mois</t>
  </si>
  <si>
    <t xml:space="preserve">2 300 € (commandes sur ventes réelles) + 1 150 € (sorties tracées) + 1 150 € (audit fournitures)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</si>
  <si>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</si>
  <si>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</si>
  <si>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</si>
  <si>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</si>
  <si>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</si>
  <si>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</si>
  <si>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</si>
  <si>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ans, selon l’analyse (le capital seul fait ≈ 2 390 €)</t>
  </si>
  <si>
    <t xml:space="preserve">Semaines par mois</t>
  </si>
  <si>
    <t xml:space="preserve">Poste (€ par mois)</t>
  </si>
  <si>
    <t xml:space="preserve">Actuel</t>
  </si>
  <si>
    <t xml:space="preserve">% CA</t>
  </si>
  <si>
    <t xml:space="preserve">Plan matière (B1 → B4)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</si>
  <si>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</si>
  <si>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</si>
  <si>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</si>
  <si>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</si>
  <si>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</si>
  <si>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</si>
  <si>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</si>
  <si>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</si>
  <si>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</si>
  <si>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</si>
  <si>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</si>
  <si>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</si>
  <si>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</si>
  <si>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</si>
  <si>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</si>
  <si>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</si>
  <si>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</si>
  <si>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</si>
  <si>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</si>
  <si>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</si>
  <si>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</si>
  <si>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</si>
  <si>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Point mort, Nathan payé (CA par mois)</t>
  </si>
  <si>
    <t xml:space="preserve">Point mort avec les remboursements (CA par mois)</t>
  </si>
  <si>
    <t xml:space="preserve">Point mort : charges fixes (Nathan et remboursements compris) ÷ (1 − achats et emballages en % du CA). « Autres charges diverses » (probablement les redevances) comptées en fixe.</t>
  </si>
  <si>
    <t xml:space="preserve">Le rapprochement avec la caisse</t>
  </si>
  <si>
    <t xml:space="preserve">CA comptable de la période (€ par mois × 6)</t>
  </si>
  <si>
    <t xml:space="preserve">Le magasin a ouvert le 20 février 2026, pas en avril : à rapprocher avec la fiduciaire (période couverte, TVA, factures hors caisse).</t>
  </si>
  <si>
    <t xml:space="preserve">CA de caisse HT, avril → septembre</t>
  </si>
  <si>
    <t xml:space="preserve">Écart comptable − caisse</t>
  </si>
  <si>
    <t xml:space="preserve">CA de caisse HT, du 20 février au 30 septembre</t>
  </si>
  <si>
    <t xml:space="preserve">D’où vient la perte de la situation au 30/09</t>
  </si>
  <si>
    <t xml:space="preserve">Pré-ouverture 2025</t>
  </si>
  <si>
    <t xml:space="preserve">Charges courues d'octobre à mars sans CA (≈ 5,3 k€ par mois)</t>
  </si>
  <si>
    <t xml:space="preserve">avec une ouverture au 20 février, « charges courues » et « exploitation réelle » sont à refaire</t>
  </si>
  <si>
    <t xml:space="preserve">Erreur de stock</t>
  </si>
  <si>
    <t xml:space="preserve">Exploitation réelle d'avril à septembre</t>
  </si>
  <si>
    <t xml:space="preserve">Amortissements</t>
  </si>
  <si>
    <t xml:space="preserve">Frais financiers</t>
  </si>
  <si>
    <t xml:space="preserve">Somme des lignes (arrondies)</t>
  </si>
  <si>
    <t xml:space="preserve">Perte de la situation au 30/09</t>
  </si>
  <si>
    <t xml:space="preserve">À faire corriger par Pardoen avant de signer la situation et le PV d’AG</t>
  </si>
  <si>
    <t xml:space="preserve">Stock négatif (− 6 173 €) : impossible. Chaque millier d'euros de vrai stock en fin de période, c'est un millier d'euros de résultat en plus.</t>
  </si>
  <si>
    <t xml:space="preserve">« Formation pré et post ouverture » à − 31 000 € en actif : une immobilisation négative n'a pas de sens, probablement une note de crédit mal imputée.</t>
  </si>
  <si>
    <t xml:space="preserve">Mobilier en leasing (60,9 k€) jamais amorti : il manque environ 1 000 € d'amortissement par mois, le résultat réel est donc plus mauvais que celui affiché.</t>
  </si>
  <si>
    <t xml:space="preserve">Rémunération dirigeant à − 2 000 € (solde débiteur) : à expliquer.</t>
  </si>
  <si>
    <t xml:space="preserve">Lignes à justifier une par une : « autres charges diverses » à 9 k€ (si ce sont bien les redevances, à 2,6 % du CA, les reclasser), containers 7,8 k€, secrétariat social 5,8 k€ (probablement Liantis de Nathan dedans), voiture 6,6 k€.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</si>
</sst>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7"/>
    <col collapsed="false" customWidth="true" hidden="false" outlineLevel="0" max="5" min="5" style="0" width="9"/>
    <col collapsed="false" customWidth="true" hidden="false" outlineLevel="0" max="6" min="6" style="0" width="17"/>
    <col collapsed="false" customWidth="true" hidden="false" outlineLevel="0" max="7" min="7" style="0" width="9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27" t="n">
        <v>0.05</v>
      </c>
      <c r="D5" s="2" t="s">
        <v>148</v>
      </c>
    </row>
    <row r="6" customFormat="false" ht="15" hidden="false" customHeight="false" outlineLevel="0" collapsed="false">
      <c r="A6" s="6" t="s">
        <v>149</v>
      </c>
      <c r="B6" s="14" t="n">
        <v>4600</v>
      </c>
      <c r="D6" s="2" t="s">
        <v>150</v>
      </c>
    </row>
    <row r="7" customFormat="false" ht="15" hidden="false" customHeight="false" outlineLevel="0" collapsed="false">
      <c r="A7" s="6" t="s">
        <v>151</v>
      </c>
      <c r="B7" s="27" t="n">
        <v>0.15</v>
      </c>
      <c r="D7" s="2" t="s">
        <v>152</v>
      </c>
    </row>
    <row r="8" customFormat="false" ht="15" hidden="false" customHeight="false" outlineLevel="0" collapsed="false">
      <c r="A8" s="6" t="s">
        <v>153</v>
      </c>
      <c r="B8" s="27" t="n">
        <v>0.4</v>
      </c>
      <c r="D8" s="2" t="s">
        <v>154</v>
      </c>
    </row>
    <row r="9" customFormat="false" ht="15" hidden="false" customHeight="false" outlineLevel="0" collapsed="false">
      <c r="A9" s="6" t="s">
        <v>155</v>
      </c>
      <c r="B9" s="14" t="n">
        <v>500</v>
      </c>
      <c r="D9" s="2" t="s">
        <v>156</v>
      </c>
    </row>
    <row r="10" customFormat="false" ht="15" hidden="false" customHeight="false" outlineLevel="0" collapsed="false">
      <c r="A10" s="6" t="s">
        <v>157</v>
      </c>
      <c r="B10" s="14" t="n">
        <v>2900</v>
      </c>
      <c r="D10" s="2" t="s">
        <v>158</v>
      </c>
    </row>
    <row r="11" customFormat="false" ht="15" hidden="false" customHeight="false" outlineLevel="0" collapsed="false">
      <c r="A11" s="6" t="s">
        <v>159</v>
      </c>
      <c r="B11" s="15" t="n">
        <f aca="false">52/12</f>
        <v>4.33333333333333</v>
      </c>
    </row>
    <row r="13" customFormat="false" ht="30" hidden="false" customHeight="true" outlineLevel="0" collapsed="false">
      <c r="A13" s="5" t="s">
        <v>160</v>
      </c>
      <c r="B13" s="4" t="s">
        <v>161</v>
      </c>
      <c r="C13" s="4" t="s">
        <v>162</v>
      </c>
      <c r="D13" s="4" t="s">
        <v>163</v>
      </c>
      <c r="E13" s="4" t="s">
        <v>162</v>
      </c>
      <c r="F13" s="4" t="s">
        <v>164</v>
      </c>
      <c r="G13" s="4" t="s">
        <v>162</v>
      </c>
    </row>
    <row r="14" customFormat="false" ht="15" hidden="false" customHeight="false" outlineLevel="0" collapsed="false">
      <c r="A14" s="22" t="s">
        <v>165</v>
      </c>
      <c r="B14" s="17" t="n">
        <v>58216</v>
      </c>
      <c r="C14" s="24" t="n">
        <f aca="false">IF(B$14&lt;&gt;0,B14/B$14,0)</f>
        <v>1</v>
      </c>
      <c r="D14" s="23" t="n">
        <f aca="false">B14*(1+$B$5)</f>
        <v>61126.8</v>
      </c>
      <c r="E14" s="24" t="n">
        <f aca="false">IF(D$14&lt;&gt;0,D14/D$14,0)</f>
        <v>1</v>
      </c>
      <c r="F14" s="23" t="n">
        <f aca="false">B14*(1+$B$7)</f>
        <v>66948.4</v>
      </c>
      <c r="G14" s="24" t="n">
        <f aca="false">IF(F$14&lt;&gt;0,F14/F$14,0)</f>
        <v>1</v>
      </c>
    </row>
    <row r="15" customFormat="false" ht="15" hidden="false" customHeight="false" outlineLevel="0" collapsed="false">
      <c r="A15" s="6" t="s">
        <v>166</v>
      </c>
      <c r="B15" s="17" t="n">
        <v>28144</v>
      </c>
      <c r="C15" s="18" t="n">
        <f aca="false">IF(B$14&lt;&gt;0,B15/B$14,0)</f>
        <v>0.483440978425175</v>
      </c>
      <c r="D15" s="8" t="n">
        <f aca="false">B15-$B$6</f>
        <v>23544</v>
      </c>
      <c r="E15" s="18" t="n">
        <f aca="false">IF(D$14&lt;&gt;0,D15/D$14,0)</f>
        <v>0.385166571781935</v>
      </c>
      <c r="F15" s="8" t="n">
        <f aca="false">F14*$B$8</f>
        <v>26779.36</v>
      </c>
      <c r="G15" s="18" t="n">
        <f aca="false">IF(F$14&lt;&gt;0,F15/F$14,0)</f>
        <v>0.4</v>
      </c>
    </row>
    <row r="16" customFormat="false" ht="15" hidden="false" customHeight="false" outlineLevel="0" collapsed="false">
      <c r="A16" s="6" t="s">
        <v>167</v>
      </c>
      <c r="B16" s="17" t="n">
        <v>914</v>
      </c>
      <c r="C16" s="18" t="n">
        <f aca="false">IF(B$14&lt;&gt;0,B16/B$14,0)</f>
        <v>0.0157001511611928</v>
      </c>
      <c r="D16" s="8" t="n">
        <f aca="false">B16</f>
        <v>914</v>
      </c>
      <c r="E16" s="18" t="n">
        <f aca="false">IF(D$14&lt;&gt;0,D16/D$14,0)</f>
        <v>0.0149525249154217</v>
      </c>
      <c r="F16" s="8" t="n">
        <f aca="false">IF(B14&gt;0,B16/B14*F14,0)</f>
        <v>1051.1</v>
      </c>
      <c r="G16" s="18" t="n">
        <f aca="false">IF(F$14&lt;&gt;0,F16/F$14,0)</f>
        <v>0.0157001511611928</v>
      </c>
    </row>
    <row r="17" customFormat="false" ht="15" hidden="false" customHeight="false" outlineLevel="0" collapsed="false">
      <c r="A17" s="19" t="s">
        <v>168</v>
      </c>
      <c r="B17" s="20" t="n">
        <f aca="false">B14-B15-B16</f>
        <v>29158</v>
      </c>
      <c r="C17" s="24" t="n">
        <f aca="false">IF(B$14&lt;&gt;0,B17/B$14,0)</f>
        <v>0.500858870413632</v>
      </c>
      <c r="D17" s="20" t="n">
        <f aca="false">D14-D15-D16</f>
        <v>36668.8</v>
      </c>
      <c r="E17" s="24" t="n">
        <f aca="false">IF(D$14&lt;&gt;0,D17/D$14,0)</f>
        <v>0.599880903302643</v>
      </c>
      <c r="F17" s="20" t="n">
        <f aca="false">F14-F15-F16</f>
        <v>39117.94</v>
      </c>
      <c r="G17" s="24" t="n">
        <f aca="false">IF(F$14&lt;&gt;0,F17/F$14,0)</f>
        <v>0.584299848838807</v>
      </c>
    </row>
    <row r="18" customFormat="false" ht="15" hidden="false" customHeight="false" outlineLevel="0" collapsed="false">
      <c r="A18" s="6" t="s">
        <v>169</v>
      </c>
      <c r="B18" s="17" t="n">
        <v>9364</v>
      </c>
      <c r="C18" s="18" t="n">
        <f aca="false">IF(B$14&lt;&gt;0,B18/B$14,0)</f>
        <v>0.160849251064999</v>
      </c>
      <c r="D18" s="8" t="n">
        <f aca="false">B18</f>
        <v>9364</v>
      </c>
      <c r="E18" s="18" t="n">
        <f aca="false">IF(D$14&lt;&gt;0,D18/D$14,0)</f>
        <v>0.153189762919047</v>
      </c>
      <c r="F18" s="8" t="n">
        <f aca="false">B18</f>
        <v>9364</v>
      </c>
      <c r="G18" s="18" t="n">
        <f aca="false">IF(F$14&lt;&gt;0,F18/F$14,0)</f>
        <v>0.139868913969565</v>
      </c>
    </row>
    <row r="19" customFormat="false" ht="15" hidden="false" customHeight="false" outlineLevel="0" collapsed="false">
      <c r="A19" s="6" t="s">
        <v>170</v>
      </c>
      <c r="B19" s="17" t="n">
        <v>4862</v>
      </c>
      <c r="C19" s="18" t="n">
        <f aca="false">IF(B$14&lt;&gt;0,B19/B$14,0)</f>
        <v>0.0835165590215748</v>
      </c>
      <c r="D19" s="8" t="n">
        <f aca="false">B19</f>
        <v>4862</v>
      </c>
      <c r="E19" s="18" t="n">
        <f aca="false">IF(D$14&lt;&gt;0,D19/D$14,0)</f>
        <v>0.0795395800205475</v>
      </c>
      <c r="F19" s="8" t="n">
        <f aca="false">B19</f>
        <v>4862</v>
      </c>
      <c r="G19" s="18" t="n">
        <f aca="false">IF(F$14&lt;&gt;0,F19/F$14,0)</f>
        <v>0.0726230948013694</v>
      </c>
    </row>
    <row r="20" customFormat="false" ht="15" hidden="false" customHeight="false" outlineLevel="0" collapsed="false">
      <c r="A20" s="6" t="s">
        <v>171</v>
      </c>
      <c r="B20" s="17" t="n">
        <v>1514</v>
      </c>
      <c r="C20" s="18" t="n">
        <f aca="false">IF(B$14&lt;&gt;0,B20/B$14,0)</f>
        <v>0.0260065961247767</v>
      </c>
      <c r="D20" s="8" t="n">
        <f aca="false">B20</f>
        <v>1514</v>
      </c>
      <c r="E20" s="18" t="n">
        <f aca="false">IF(D$14&lt;&gt;0,D20/D$14,0)</f>
        <v>0.0247681867855016</v>
      </c>
      <c r="F20" s="8" t="n">
        <f aca="false">B20</f>
        <v>1514</v>
      </c>
      <c r="G20" s="18" t="n">
        <f aca="false">IF(F$14&lt;&gt;0,F20/F$14,0)</f>
        <v>0.0226144314128493</v>
      </c>
    </row>
    <row r="21" customFormat="false" ht="15" hidden="false" customHeight="false" outlineLevel="0" collapsed="false">
      <c r="A21" s="6" t="s">
        <v>172</v>
      </c>
      <c r="B21" s="17" t="n">
        <v>1510</v>
      </c>
      <c r="C21" s="18" t="n">
        <f aca="false">IF(B$14&lt;&gt;0,B21/B$14,0)</f>
        <v>0.0259378864916861</v>
      </c>
      <c r="D21" s="8" t="n">
        <f aca="false">B21</f>
        <v>1510</v>
      </c>
      <c r="E21" s="18" t="n">
        <f aca="false">IF(D$14&lt;&gt;0,D21/D$14,0)</f>
        <v>0.0247027490397011</v>
      </c>
      <c r="F21" s="8" t="n">
        <f aca="false">B21</f>
        <v>1510</v>
      </c>
      <c r="G21" s="18" t="n">
        <f aca="false">IF(F$14&lt;&gt;0,F21/F$14,0)</f>
        <v>0.022554683905814</v>
      </c>
    </row>
    <row r="22" customFormat="false" ht="15" hidden="false" customHeight="false" outlineLevel="0" collapsed="false">
      <c r="A22" s="6" t="s">
        <v>173</v>
      </c>
      <c r="B22" s="17" t="n">
        <v>1493</v>
      </c>
      <c r="C22" s="18" t="n">
        <f aca="false">IF(B$14&lt;&gt;0,B22/B$14,0)</f>
        <v>0.0256458705510513</v>
      </c>
      <c r="D22" s="8" t="n">
        <f aca="false">B22</f>
        <v>1493</v>
      </c>
      <c r="E22" s="18" t="n">
        <f aca="false">IF(D$14&lt;&gt;0,D22/D$14,0)</f>
        <v>0.0244246386200488</v>
      </c>
      <c r="F22" s="8" t="n">
        <f aca="false">B22</f>
        <v>1493</v>
      </c>
      <c r="G22" s="18" t="n">
        <f aca="false">IF(F$14&lt;&gt;0,F22/F$14,0)</f>
        <v>0.0223007570009141</v>
      </c>
    </row>
    <row r="23" customFormat="false" ht="15" hidden="false" customHeight="false" outlineLevel="0" collapsed="false">
      <c r="A23" s="6" t="s">
        <v>174</v>
      </c>
      <c r="B23" s="17" t="n">
        <v>1295</v>
      </c>
      <c r="C23" s="18" t="n">
        <f aca="false">IF(B$14&lt;&gt;0,B23/B$14,0)</f>
        <v>0.0222447437130686</v>
      </c>
      <c r="D23" s="8" t="n">
        <f aca="false">B23</f>
        <v>1295</v>
      </c>
      <c r="E23" s="18" t="n">
        <f aca="false">IF(D$14&lt;&gt;0,D23/D$14,0)</f>
        <v>0.0211854702029224</v>
      </c>
      <c r="F23" s="8" t="n">
        <f aca="false">B23</f>
        <v>1295</v>
      </c>
      <c r="G23" s="18" t="n">
        <f aca="false">IF(F$14&lt;&gt;0,F23/F$14,0)</f>
        <v>0.0193432554026683</v>
      </c>
    </row>
    <row r="24" customFormat="false" ht="15" hidden="false" customHeight="false" outlineLevel="0" collapsed="false">
      <c r="A24" s="6" t="s">
        <v>175</v>
      </c>
      <c r="B24" s="17" t="n">
        <v>1104</v>
      </c>
      <c r="C24" s="18" t="n">
        <f aca="false">IF(B$14&lt;&gt;0,B24/B$14,0)</f>
        <v>0.0189638587329944</v>
      </c>
      <c r="D24" s="8" t="n">
        <f aca="false">B24</f>
        <v>1104</v>
      </c>
      <c r="E24" s="18" t="n">
        <f aca="false">IF(D$14&lt;&gt;0,D24/D$14,0)</f>
        <v>0.018060817840947</v>
      </c>
      <c r="F24" s="8" t="n">
        <f aca="false">B24</f>
        <v>1104</v>
      </c>
      <c r="G24" s="18" t="n">
        <f aca="false">IF(F$14&lt;&gt;0,F24/F$14,0)</f>
        <v>0.0164903119417342</v>
      </c>
    </row>
    <row r="25" customFormat="false" ht="15" hidden="false" customHeight="false" outlineLevel="0" collapsed="false">
      <c r="A25" s="6" t="s">
        <v>176</v>
      </c>
      <c r="B25" s="17" t="n">
        <v>1011</v>
      </c>
      <c r="C25" s="18" t="n">
        <f aca="false">IF(B$14&lt;&gt;0,B25/B$14,0)</f>
        <v>0.0173663597636389</v>
      </c>
      <c r="D25" s="8" t="n">
        <f aca="false">B25</f>
        <v>1011</v>
      </c>
      <c r="E25" s="18" t="n">
        <f aca="false">IF(D$14&lt;&gt;0,D25/D$14,0)</f>
        <v>0.0165393902510846</v>
      </c>
      <c r="F25" s="8" t="n">
        <f aca="false">B25</f>
        <v>1011</v>
      </c>
      <c r="G25" s="18" t="n">
        <f aca="false">IF(F$14&lt;&gt;0,F25/F$14,0)</f>
        <v>0.0151011824031642</v>
      </c>
    </row>
    <row r="26" customFormat="false" ht="15" hidden="false" customHeight="false" outlineLevel="0" collapsed="false">
      <c r="A26" s="6" t="s">
        <v>177</v>
      </c>
      <c r="B26" s="17" t="n">
        <v>778</v>
      </c>
      <c r="C26" s="18" t="n">
        <f aca="false">IF(B$14&lt;&gt;0,B26/B$14,0)</f>
        <v>0.0133640236361138</v>
      </c>
      <c r="D26" s="8" t="n">
        <f aca="false">B26</f>
        <v>778</v>
      </c>
      <c r="E26" s="18" t="n">
        <f aca="false">IF(D$14&lt;&gt;0,D26/D$14,0)</f>
        <v>0.0127276415582036</v>
      </c>
      <c r="F26" s="8" t="n">
        <f aca="false">B26</f>
        <v>778</v>
      </c>
      <c r="G26" s="18" t="n">
        <f aca="false">IF(F$14&lt;&gt;0,F26/F$14,0)</f>
        <v>0.0116208901183598</v>
      </c>
    </row>
    <row r="27" customFormat="false" ht="15" hidden="false" customHeight="false" outlineLevel="0" collapsed="false">
      <c r="A27" s="6" t="s">
        <v>178</v>
      </c>
      <c r="B27" s="17" t="n">
        <v>738</v>
      </c>
      <c r="C27" s="18" t="n">
        <f aca="false">IF(B$14&lt;&gt;0,B27/B$14,0)</f>
        <v>0.0126769273052082</v>
      </c>
      <c r="D27" s="8" t="n">
        <f aca="false">B27</f>
        <v>738</v>
      </c>
      <c r="E27" s="18" t="n">
        <f aca="false">IF(D$14&lt;&gt;0,D27/D$14,0)</f>
        <v>0.0120732641001983</v>
      </c>
      <c r="F27" s="8" t="n">
        <f aca="false">B27</f>
        <v>738</v>
      </c>
      <c r="G27" s="18" t="n">
        <f aca="false">IF(F$14&lt;&gt;0,F27/F$14,0)</f>
        <v>0.0110234150480071</v>
      </c>
    </row>
    <row r="28" customFormat="false" ht="15" hidden="false" customHeight="false" outlineLevel="0" collapsed="false">
      <c r="A28" s="6" t="s">
        <v>179</v>
      </c>
      <c r="B28" s="17" t="n">
        <v>685</v>
      </c>
      <c r="C28" s="18" t="n">
        <f aca="false">IF(B$14&lt;&gt;0,B28/B$14,0)</f>
        <v>0.0117665246667583</v>
      </c>
      <c r="D28" s="8" t="n">
        <f aca="false">B28</f>
        <v>685</v>
      </c>
      <c r="E28" s="18" t="n">
        <f aca="false">IF(D$14&lt;&gt;0,D28/D$14,0)</f>
        <v>0.0112062139683412</v>
      </c>
      <c r="F28" s="8" t="n">
        <f aca="false">B28</f>
        <v>685</v>
      </c>
      <c r="G28" s="18" t="n">
        <f aca="false">IF(F$14&lt;&gt;0,F28/F$14,0)</f>
        <v>0.0102317605797898</v>
      </c>
    </row>
    <row r="29" customFormat="false" ht="15" hidden="false" customHeight="false" outlineLevel="0" collapsed="false">
      <c r="A29" s="6" t="s">
        <v>180</v>
      </c>
      <c r="B29" s="17" t="n">
        <v>512</v>
      </c>
      <c r="C29" s="18" t="n">
        <f aca="false">IF(B$14&lt;&gt;0,B29/B$14,0)</f>
        <v>0.00879483303559159</v>
      </c>
      <c r="D29" s="8" t="n">
        <f aca="false">B29</f>
        <v>512</v>
      </c>
      <c r="E29" s="18" t="n">
        <f aca="false">IF(D$14&lt;&gt;0,D29/D$14,0)</f>
        <v>0.00837603146246818</v>
      </c>
      <c r="F29" s="8" t="n">
        <f aca="false">B29</f>
        <v>512</v>
      </c>
      <c r="G29" s="18" t="n">
        <f aca="false">IF(F$14&lt;&gt;0,F29/F$14,0)</f>
        <v>0.00764768090051443</v>
      </c>
    </row>
    <row r="30" customFormat="false" ht="15" hidden="false" customHeight="false" outlineLevel="0" collapsed="false">
      <c r="A30" s="19" t="s">
        <v>181</v>
      </c>
      <c r="B30" s="20" t="n">
        <f aca="false">B17-SUM(B18:B29)</f>
        <v>4292</v>
      </c>
      <c r="C30" s="24" t="n">
        <f aca="false">IF(B$14&lt;&gt;0,B30/B$14,0)</f>
        <v>0.0737254363061701</v>
      </c>
      <c r="D30" s="20" t="n">
        <f aca="false">D17-SUM(D18:D29)</f>
        <v>11802.8</v>
      </c>
      <c r="E30" s="24" t="n">
        <f aca="false">IF(D$14&lt;&gt;0,D30/D$14,0)</f>
        <v>0.193087156533632</v>
      </c>
      <c r="F30" s="20" t="n">
        <f aca="false">F17-SUM(F18:F29)</f>
        <v>14251.94</v>
      </c>
      <c r="G30" s="24" t="n">
        <f aca="false">IF(F$14&lt;&gt;0,F30/F$14,0)</f>
        <v>0.212879471354058</v>
      </c>
    </row>
    <row r="31" customFormat="false" ht="15" hidden="false" customHeight="false" outlineLevel="0" collapsed="false">
      <c r="A31" s="6" t="s">
        <v>182</v>
      </c>
      <c r="B31" s="8" t="n">
        <f aca="false">-$B$9*$B$11</f>
        <v>-2166.66666666667</v>
      </c>
      <c r="C31" s="18" t="n">
        <f aca="false">IF(B$14&lt;&gt;0,B31/B$14,0)</f>
        <v>-0.037217717924053</v>
      </c>
      <c r="D31" s="8" t="n">
        <f aca="false">-$B$9*$B$11</f>
        <v>-2166.66666666667</v>
      </c>
      <c r="E31" s="18" t="n">
        <f aca="false">IF(D$14&lt;&gt;0,D31/D$14,0)</f>
        <v>-0.0354454456419552</v>
      </c>
      <c r="F31" s="8" t="n">
        <f aca="false">-$B$9*$B$11</f>
        <v>-2166.66666666667</v>
      </c>
      <c r="G31" s="18" t="n">
        <f aca="false">IF(F$14&lt;&gt;0,F31/F$14,0)</f>
        <v>-0.0323632329774374</v>
      </c>
    </row>
    <row r="32" customFormat="false" ht="15" hidden="false" customHeight="false" outlineLevel="0" collapsed="false">
      <c r="A32" s="22" t="s">
        <v>183</v>
      </c>
      <c r="B32" s="23" t="n">
        <f aca="false">B30+B31</f>
        <v>2125.33333333333</v>
      </c>
      <c r="C32" s="24" t="n">
        <f aca="false">IF(B$14&lt;&gt;0,B32/B$14,0)</f>
        <v>0.0365077183821172</v>
      </c>
      <c r="D32" s="23" t="n">
        <f aca="false">D30+D31</f>
        <v>9636.13333333334</v>
      </c>
      <c r="E32" s="24" t="n">
        <f aca="false">IF(D$14&lt;&gt;0,D32/D$14,0)</f>
        <v>0.157641710891677</v>
      </c>
      <c r="F32" s="23" t="n">
        <f aca="false">F30+F31</f>
        <v>12085.2733333333</v>
      </c>
      <c r="G32" s="24" t="n">
        <f aca="false">IF(F$14&lt;&gt;0,F32/F$14,0)</f>
        <v>0.18051623837662</v>
      </c>
    </row>
    <row r="33" customFormat="false" ht="15" hidden="false" customHeight="false" outlineLevel="0" collapsed="false">
      <c r="A33" s="6" t="s">
        <v>184</v>
      </c>
      <c r="B33" s="8" t="n">
        <f aca="false">-$B$10</f>
        <v>-2900</v>
      </c>
      <c r="C33" s="18" t="n">
        <f aca="false">IF(B$14&lt;&gt;0,B33/B$14,0)</f>
        <v>-0.0498144839906555</v>
      </c>
      <c r="D33" s="8" t="n">
        <f aca="false">-$B$10</f>
        <v>-2900</v>
      </c>
      <c r="E33" s="18" t="n">
        <f aca="false">IF(D$14&lt;&gt;0,D33/D$14,0)</f>
        <v>-0.0474423657053862</v>
      </c>
      <c r="F33" s="8" t="n">
        <f aca="false">-$B$10</f>
        <v>-2900</v>
      </c>
      <c r="G33" s="18" t="n">
        <f aca="false">IF(F$14&lt;&gt;0,F33/F$14,0)</f>
        <v>-0.04331694260057</v>
      </c>
    </row>
    <row r="34" customFormat="false" ht="15" hidden="false" customHeight="false" outlineLevel="0" collapsed="false">
      <c r="A34" s="19" t="s">
        <v>185</v>
      </c>
      <c r="B34" s="20" t="n">
        <f aca="false">B32+B33</f>
        <v>-774.666666666667</v>
      </c>
      <c r="C34" s="24" t="n">
        <f aca="false">IF(B$14&lt;&gt;0,B34/B$14,0)</f>
        <v>-0.0133067656085383</v>
      </c>
      <c r="D34" s="20" t="n">
        <f aca="false">D32+D33</f>
        <v>6736.13333333334</v>
      </c>
      <c r="E34" s="24" t="n">
        <f aca="false">IF(D$14&lt;&gt;0,D34/D$14,0)</f>
        <v>0.11019934518629</v>
      </c>
      <c r="F34" s="20" t="n">
        <f aca="false">F32+F33</f>
        <v>9185.27333333333</v>
      </c>
      <c r="G34" s="24" t="n">
        <f aca="false">IF(F$14&lt;&gt;0,F34/F$14,0)</f>
        <v>0.13719929577605</v>
      </c>
    </row>
    <row r="36" customFormat="false" ht="15" hidden="false" customHeight="false" outlineLevel="0" collapsed="false">
      <c r="A36" s="28" t="s">
        <v>186</v>
      </c>
      <c r="B36" s="32" t="n">
        <f aca="false">IF(B14&gt;0,(SUM(B18:B29)-B31)/(1-(B15+B16)/B14),0)</f>
        <v>53972.6223563573</v>
      </c>
      <c r="D36" s="32" t="n">
        <f aca="false">IF(D14&gt;0,(SUM(D18:D29)-D31)/(1-(D15+D16)/D14),0)</f>
        <v>45063.3892791692</v>
      </c>
      <c r="F36" s="32" t="n">
        <f aca="false">IF(F14&gt;0,(SUM(F18:F29)-F31)/(1-(F15+F16)/F14),0)</f>
        <v>46265.0584633717</v>
      </c>
    </row>
    <row r="37" customFormat="false" ht="15" hidden="false" customHeight="false" outlineLevel="0" collapsed="false">
      <c r="A37" s="28" t="s">
        <v>187</v>
      </c>
      <c r="B37" s="32" t="n">
        <f aca="false">IF(B14&gt;0,(SUM(B18:B29)-B31-B33)/(1-(B15+B16)/B14),0)</f>
        <v>59762.6765438873</v>
      </c>
      <c r="D37" s="32" t="n">
        <f aca="false">IF(D14&gt;0,(SUM(D18:D29)-D31-D33)/(1-(D15+D16)/D14),0)</f>
        <v>49897.682193036</v>
      </c>
      <c r="F37" s="32" t="n">
        <f aca="false">IF(F14&gt;0,(SUM(F18:F29)-F31-F33)/(1-(F15+F16)/F14),0)</f>
        <v>51228.2635810236</v>
      </c>
    </row>
    <row r="38" customFormat="false" ht="15" hidden="false" customHeight="false" outlineLevel="0" collapsed="false">
      <c r="A38" s="2" t="s">
        <v>188</v>
      </c>
    </row>
    <row r="40" customFormat="false" ht="15" hidden="false" customHeight="false" outlineLevel="0" collapsed="false">
      <c r="A40" s="3" t="s">
        <v>189</v>
      </c>
    </row>
    <row r="41" customFormat="false" ht="15" hidden="false" customHeight="false" outlineLevel="0" collapsed="false">
      <c r="A41" s="6" t="s">
        <v>190</v>
      </c>
      <c r="B41" s="8" t="n">
        <f aca="false">B14*6</f>
        <v>349296</v>
      </c>
      <c r="D41" s="2" t="s">
        <v>191</v>
      </c>
    </row>
    <row r="42" customFormat="false" ht="15" hidden="false" customHeight="false" outlineLevel="0" collapsed="false">
      <c r="A42" s="6" t="s">
        <v>192</v>
      </c>
      <c r="B42" s="7" t="n">
        <f aca="false">SUM('Mois par mois'!C6:C11)</f>
        <v>312456.22</v>
      </c>
    </row>
    <row r="43" customFormat="false" ht="15" hidden="false" customHeight="false" outlineLevel="0" collapsed="false">
      <c r="A43" s="6" t="s">
        <v>193</v>
      </c>
      <c r="B43" s="8" t="n">
        <f aca="false">B41-B42</f>
        <v>36839.78</v>
      </c>
      <c r="C43" s="18" t="n">
        <f aca="false">IF(B42&gt;0,B43/B42,0)</f>
        <v>0.117903813852706</v>
      </c>
    </row>
    <row r="44" customFormat="false" ht="15" hidden="false" customHeight="false" outlineLevel="0" collapsed="false">
      <c r="A44" s="6" t="s">
        <v>194</v>
      </c>
      <c r="B44" s="7" t="n">
        <f aca="false">SUM('Mois par mois'!C5:C11)+6506.85</f>
        <v>367730.41</v>
      </c>
    </row>
    <row r="46" customFormat="false" ht="15" hidden="false" customHeight="false" outlineLevel="0" collapsed="false">
      <c r="A46" s="3" t="s">
        <v>195</v>
      </c>
    </row>
    <row r="47" customFormat="false" ht="15" hidden="false" customHeight="false" outlineLevel="0" collapsed="false">
      <c r="A47" s="6" t="s">
        <v>196</v>
      </c>
      <c r="B47" s="17" t="n">
        <v>-22600</v>
      </c>
    </row>
    <row r="48" customFormat="false" ht="15" hidden="false" customHeight="false" outlineLevel="0" collapsed="false">
      <c r="A48" s="6" t="s">
        <v>197</v>
      </c>
      <c r="B48" s="17" t="n">
        <v>-31800</v>
      </c>
      <c r="D48" s="2" t="s">
        <v>198</v>
      </c>
    </row>
    <row r="49" customFormat="false" ht="15" hidden="false" customHeight="false" outlineLevel="0" collapsed="false">
      <c r="A49" s="6" t="s">
        <v>199</v>
      </c>
      <c r="B49" s="17" t="n">
        <v>-6200</v>
      </c>
    </row>
    <row r="50" customFormat="false" ht="15" hidden="false" customHeight="false" outlineLevel="0" collapsed="false">
      <c r="A50" s="6" t="s">
        <v>200</v>
      </c>
      <c r="B50" s="17" t="n">
        <v>25800</v>
      </c>
    </row>
    <row r="51" customFormat="false" ht="15" hidden="false" customHeight="false" outlineLevel="0" collapsed="false">
      <c r="A51" s="6" t="s">
        <v>201</v>
      </c>
      <c r="B51" s="17" t="n">
        <v>-13400</v>
      </c>
    </row>
    <row r="52" customFormat="false" ht="15" hidden="false" customHeight="false" outlineLevel="0" collapsed="false">
      <c r="A52" s="6" t="s">
        <v>202</v>
      </c>
      <c r="B52" s="17" t="n">
        <v>-11900</v>
      </c>
    </row>
    <row r="53" customFormat="false" ht="15" hidden="false" customHeight="false" outlineLevel="0" collapsed="false">
      <c r="A53" s="19" t="s">
        <v>203</v>
      </c>
      <c r="B53" s="20" t="n">
        <f aca="false">SUM(B47:B52)</f>
        <v>-60100</v>
      </c>
    </row>
    <row r="54" customFormat="false" ht="15" hidden="false" customHeight="false" outlineLevel="0" collapsed="false">
      <c r="A54" s="6" t="s">
        <v>204</v>
      </c>
      <c r="B54" s="17" t="n">
        <v>-59900</v>
      </c>
    </row>
    <row r="56" customFormat="false" ht="15" hidden="false" customHeight="false" outlineLevel="0" collapsed="false">
      <c r="A56" s="3" t="s">
        <v>205</v>
      </c>
    </row>
    <row r="57" customFormat="false" ht="24" hidden="false" customHeight="true" outlineLevel="0" collapsed="false">
      <c r="A57" s="35" t="s">
        <v>206</v>
      </c>
      <c r="B57" s="35"/>
      <c r="C57" s="35"/>
      <c r="D57" s="35"/>
      <c r="E57" s="35"/>
      <c r="F57" s="35"/>
      <c r="G57" s="35"/>
    </row>
    <row r="58" customFormat="false" ht="24" hidden="false" customHeight="true" outlineLevel="0" collapsed="false">
      <c r="A58" s="35" t="s">
        <v>207</v>
      </c>
      <c r="B58" s="35"/>
      <c r="C58" s="35"/>
      <c r="D58" s="35"/>
      <c r="E58" s="35"/>
      <c r="F58" s="35"/>
      <c r="G58" s="35"/>
    </row>
    <row r="59" customFormat="false" ht="24" hidden="false" customHeight="true" outlineLevel="0" collapsed="false">
      <c r="A59" s="35" t="s">
        <v>208</v>
      </c>
      <c r="B59" s="35"/>
      <c r="C59" s="35"/>
      <c r="D59" s="35"/>
      <c r="E59" s="35"/>
      <c r="F59" s="35"/>
      <c r="G59" s="35"/>
    </row>
    <row r="60" customFormat="false" ht="24" hidden="false" customHeight="true" outlineLevel="0" collapsed="false">
      <c r="A60" s="35" t="s">
        <v>209</v>
      </c>
      <c r="B60" s="35"/>
      <c r="C60" s="35"/>
      <c r="D60" s="35"/>
      <c r="E60" s="35"/>
      <c r="F60" s="35"/>
      <c r="G60" s="35"/>
    </row>
    <row r="61" customFormat="false" ht="24" hidden="false" customHeight="true" outlineLevel="0" collapsed="false">
      <c r="A61" s="35" t="s">
        <v>210</v>
      </c>
      <c r="B61" s="35"/>
      <c r="C61" s="35"/>
      <c r="D61" s="35"/>
      <c r="E61" s="35"/>
      <c r="F61" s="35"/>
      <c r="G61" s="35"/>
    </row>
  </sheetData>
  <mergeCells count="5">
    <mergeCell ref="A57:G57"/>
    <mergeCell ref="A58:G58"/>
    <mergeCell ref="A59:G59"/>
    <mergeCell ref="A60:G60"/>
    <mergeCell ref="A61:G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2026-10-13T17:44:23Z</dcterms:created>
  <dc:creator>openpyxl</dc:creator>
  <dc:description/>
  <dc:language>en-US</dc:language>
  <cp:lastModifiedBy/>
  <dcterms:modified xsi:type="dcterms:W3CDTF">2026-10-13T17:44:23Z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